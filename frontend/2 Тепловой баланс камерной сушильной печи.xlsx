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ЭтаКнига" defaultThemeVersion="124226"/>
  <bookViews>
    <workbookView xWindow="240" yWindow="915" windowWidth="20115" windowHeight="7155" activeTab="2"/>
  </bookViews>
  <sheets>
    <sheet name="Исходные данные" sheetId="1" r:id="rId1"/>
    <sheet name="Расчет горения топлива" sheetId="2" r:id="rId2"/>
    <sheet name="Тепловой баланс" sheetId="3" r:id="rId3"/>
  </sheets>
  <definedNames>
    <definedName name="_xlnm._FilterDatabase" localSheetId="0" hidden="1">'Исходные данные'!$A$4:$B$28</definedName>
  </definedNames>
  <calcPr calcId="145621"/>
</workbook>
</file>

<file path=xl/calcChain.xml><?xml version="1.0" encoding="utf-8"?>
<calcChain xmlns="http://schemas.openxmlformats.org/spreadsheetml/2006/main">
  <c r="N10" i="2" l="1"/>
  <c r="J14" i="3" l="1"/>
  <c r="J13" i="3"/>
  <c r="J9" i="3"/>
  <c r="B59" i="3"/>
  <c r="J3" i="3" l="1"/>
  <c r="B44" i="3" l="1"/>
  <c r="B43" i="3"/>
  <c r="B46" i="3" s="1"/>
  <c r="B42" i="3"/>
  <c r="B41" i="3"/>
  <c r="B51" i="3" s="1"/>
  <c r="B32" i="3"/>
  <c r="B48" i="3" l="1"/>
  <c r="B50" i="3"/>
  <c r="B54" i="3" s="1"/>
  <c r="B25" i="3"/>
  <c r="B30" i="3" s="1"/>
  <c r="B39" i="3"/>
  <c r="B21" i="3"/>
  <c r="B16" i="3"/>
  <c r="B53" i="3" l="1"/>
  <c r="B52" i="3"/>
  <c r="B55" i="3" s="1"/>
  <c r="J36" i="3" s="1"/>
  <c r="B10" i="3"/>
  <c r="B24" i="3" s="1"/>
  <c r="B9" i="3"/>
  <c r="B8" i="3"/>
  <c r="B7" i="3"/>
  <c r="B17" i="3" s="1"/>
  <c r="B5" i="3"/>
  <c r="B4" i="3"/>
  <c r="B62" i="3" l="1"/>
  <c r="B6" i="3"/>
  <c r="B26" i="3" s="1"/>
  <c r="B27" i="3"/>
  <c r="B28" i="3" s="1"/>
  <c r="B34" i="3"/>
  <c r="B29" i="3"/>
  <c r="B31" i="3" s="1"/>
  <c r="B33" i="3" s="1"/>
  <c r="B11" i="3"/>
  <c r="B5" i="2"/>
  <c r="F2" i="2"/>
  <c r="B6" i="2"/>
  <c r="B4" i="2"/>
  <c r="J31" i="3" l="1"/>
  <c r="B35" i="3"/>
  <c r="B36" i="3" s="1"/>
  <c r="J35" i="3" s="1"/>
  <c r="B25" i="2"/>
  <c r="J18" i="2"/>
  <c r="J17" i="2"/>
  <c r="J16" i="2"/>
  <c r="C19" i="2"/>
  <c r="C18" i="2" s="1"/>
  <c r="B20" i="2"/>
  <c r="C15" i="2" l="1"/>
  <c r="C12" i="2"/>
  <c r="C16" i="2"/>
  <c r="C13" i="2"/>
  <c r="C17" i="2"/>
  <c r="C14" i="2"/>
  <c r="J9" i="2" l="1"/>
  <c r="N9" i="2" s="1"/>
  <c r="J3" i="2"/>
  <c r="C20" i="2"/>
  <c r="J10" i="2"/>
  <c r="N12" i="2" l="1"/>
  <c r="N13" i="2" s="1"/>
  <c r="J11" i="2"/>
  <c r="N11" i="2"/>
  <c r="J4" i="2"/>
  <c r="J5" i="2" s="1"/>
  <c r="J12" i="2"/>
  <c r="B15" i="3" l="1"/>
  <c r="B18" i="3" s="1"/>
  <c r="B28" i="2"/>
  <c r="N19" i="2"/>
  <c r="N16" i="2"/>
  <c r="B26" i="2"/>
  <c r="N18" i="2"/>
  <c r="N17" i="2"/>
  <c r="B27" i="2" l="1"/>
  <c r="B29" i="2"/>
  <c r="J8" i="3"/>
  <c r="B58" i="3"/>
  <c r="J32" i="3"/>
  <c r="J34" i="3" l="1"/>
  <c r="J33" i="3"/>
  <c r="B57" i="3"/>
  <c r="J11" i="3"/>
  <c r="J10" i="3"/>
  <c r="J12" i="3"/>
  <c r="J7" i="3"/>
  <c r="B7" i="2"/>
  <c r="B30" i="2"/>
  <c r="K33" i="3" l="1"/>
  <c r="J15" i="3"/>
  <c r="K34" i="3"/>
  <c r="J4" i="3"/>
  <c r="B8" i="2"/>
  <c r="J5" i="3" s="1"/>
  <c r="J6" i="3" s="1"/>
  <c r="J37" i="3"/>
  <c r="K31" i="3" l="1"/>
  <c r="K35" i="3"/>
  <c r="K36" i="3"/>
  <c r="B61" i="3"/>
  <c r="B60" i="3"/>
  <c r="K32" i="3"/>
  <c r="J17" i="3"/>
  <c r="J16" i="3"/>
</calcChain>
</file>

<file path=xl/comments1.xml><?xml version="1.0" encoding="utf-8"?>
<comments xmlns="http://schemas.openxmlformats.org/spreadsheetml/2006/main">
  <authors>
    <author>dns</author>
  </authors>
  <commentList>
    <comment ref="B5" authorId="0">
      <text>
        <r>
          <rPr>
            <sz val="9"/>
            <color indexed="81"/>
            <rFont val="Tahoma"/>
            <family val="2"/>
            <charset val="204"/>
          </rPr>
          <t xml:space="preserve">значение от 1000 до 100000
</t>
        </r>
      </text>
    </comment>
    <comment ref="B6" authorId="0">
      <text>
        <r>
          <rPr>
            <sz val="9"/>
            <color indexed="81"/>
            <rFont val="Tahoma"/>
            <family val="2"/>
            <charset val="204"/>
          </rPr>
          <t>значение от 0,1 до 100</t>
        </r>
      </text>
    </comment>
    <comment ref="B7" authorId="0">
      <text>
        <r>
          <rPr>
            <sz val="9"/>
            <color indexed="81"/>
            <rFont val="Tahoma"/>
            <family val="2"/>
            <charset val="204"/>
          </rPr>
          <t xml:space="preserve">значение от 0,1 до 100
</t>
        </r>
      </text>
    </comment>
    <comment ref="B8" authorId="0">
      <text>
        <r>
          <rPr>
            <sz val="9"/>
            <color indexed="81"/>
            <rFont val="Tahoma"/>
            <family val="2"/>
            <charset val="204"/>
          </rPr>
          <t xml:space="preserve">значение от 0 до 1100
</t>
        </r>
      </text>
    </comment>
    <comment ref="H8" authorId="0">
      <text>
        <r>
          <rPr>
            <sz val="9"/>
            <color indexed="81"/>
            <rFont val="Tahoma"/>
            <family val="2"/>
            <charset val="204"/>
          </rPr>
          <t xml:space="preserve">значение от 0 до 1100
</t>
        </r>
      </text>
    </comment>
    <comment ref="I8" authorId="0">
      <text>
        <r>
          <rPr>
            <sz val="9"/>
            <color indexed="81"/>
            <rFont val="Tahoma"/>
            <family val="2"/>
            <charset val="204"/>
          </rPr>
          <t>значение от 0 до 1100</t>
        </r>
      </text>
    </comment>
    <comment ref="J8" authorId="0">
      <text>
        <r>
          <rPr>
            <sz val="9"/>
            <color indexed="81"/>
            <rFont val="Tahoma"/>
            <family val="2"/>
            <charset val="204"/>
          </rPr>
          <t>значение от 0 до 1100</t>
        </r>
      </text>
    </comment>
    <comment ref="B9" authorId="0">
      <text>
        <r>
          <rPr>
            <sz val="9"/>
            <color indexed="81"/>
            <rFont val="Tahoma"/>
            <family val="2"/>
            <charset val="204"/>
          </rPr>
          <t xml:space="preserve">значение от 1 до 10
</t>
        </r>
      </text>
    </comment>
    <comment ref="H9" authorId="0">
      <text>
        <r>
          <rPr>
            <sz val="9"/>
            <color indexed="81"/>
            <rFont val="Tahoma"/>
            <family val="2"/>
            <charset val="204"/>
          </rPr>
          <t>значение от 0 до 100</t>
        </r>
      </text>
    </comment>
    <comment ref="I9" authorId="0">
      <text>
        <r>
          <rPr>
            <sz val="9"/>
            <color indexed="81"/>
            <rFont val="Tahoma"/>
            <family val="2"/>
            <charset val="204"/>
          </rPr>
          <t>значение от 0 до 1100</t>
        </r>
      </text>
    </comment>
    <comment ref="J9" authorId="0">
      <text>
        <r>
          <rPr>
            <sz val="9"/>
            <color indexed="81"/>
            <rFont val="Tahoma"/>
            <family val="2"/>
            <charset val="204"/>
          </rPr>
          <t>значение от 0 до 400</t>
        </r>
      </text>
    </comment>
    <comment ref="B10" authorId="0">
      <text>
        <r>
          <rPr>
            <sz val="9"/>
            <color indexed="81"/>
            <rFont val="Tahoma"/>
            <family val="2"/>
            <charset val="204"/>
          </rPr>
          <t xml:space="preserve">значение от 100 до 10000
</t>
        </r>
      </text>
    </comment>
    <comment ref="H10" authorId="0">
      <text>
        <r>
          <rPr>
            <sz val="9"/>
            <color indexed="81"/>
            <rFont val="Tahoma"/>
            <family val="2"/>
            <charset val="204"/>
          </rPr>
          <t>значение от 0 до 1100</t>
        </r>
      </text>
    </comment>
    <comment ref="I10" authorId="0">
      <text>
        <r>
          <rPr>
            <sz val="9"/>
            <color indexed="81"/>
            <rFont val="Tahoma"/>
            <family val="2"/>
            <charset val="204"/>
          </rPr>
          <t>значение от 0 до 1100</t>
        </r>
      </text>
    </comment>
    <comment ref="J10" authorId="0">
      <text>
        <r>
          <rPr>
            <sz val="9"/>
            <color indexed="81"/>
            <rFont val="Tahoma"/>
            <family val="2"/>
            <charset val="204"/>
          </rPr>
          <t>значение от 350 до 1100</t>
        </r>
      </text>
    </comment>
    <comment ref="B11" authorId="0">
      <text>
        <r>
          <rPr>
            <sz val="9"/>
            <color indexed="81"/>
            <rFont val="Tahoma"/>
            <family val="2"/>
            <charset val="204"/>
          </rPr>
          <t>значение от 0 до 1100</t>
        </r>
      </text>
    </comment>
    <comment ref="B12" authorId="0">
      <text>
        <r>
          <rPr>
            <sz val="9"/>
            <color indexed="81"/>
            <rFont val="Tahoma"/>
            <family val="2"/>
            <charset val="204"/>
          </rPr>
          <t>значение от 0 до 1100</t>
        </r>
      </text>
    </comment>
    <comment ref="B13" authorId="0">
      <text>
        <r>
          <rPr>
            <sz val="9"/>
            <color indexed="81"/>
            <rFont val="Tahoma"/>
            <family val="2"/>
            <charset val="204"/>
          </rPr>
          <t xml:space="preserve"> значение от 0 до 1
</t>
        </r>
      </text>
    </comment>
    <comment ref="B14" authorId="0">
      <text>
        <r>
          <rPr>
            <sz val="9"/>
            <color indexed="81"/>
            <rFont val="Tahoma"/>
            <family val="2"/>
            <charset val="204"/>
          </rPr>
          <t>значение от 0,01 до 1</t>
        </r>
      </text>
    </comment>
    <comment ref="B15" authorId="0">
      <text>
        <r>
          <rPr>
            <sz val="9"/>
            <color indexed="81"/>
            <rFont val="Tahoma"/>
            <family val="2"/>
            <charset val="204"/>
          </rPr>
          <t>значение от 0,01 до 1</t>
        </r>
      </text>
    </comment>
    <comment ref="B16" authorId="0">
      <text>
        <r>
          <rPr>
            <sz val="9"/>
            <color indexed="81"/>
            <rFont val="Tahoma"/>
            <family val="2"/>
            <charset val="204"/>
          </rPr>
          <t>значение от 0,01 до 1</t>
        </r>
      </text>
    </comment>
    <comment ref="B17" authorId="0">
      <text>
        <r>
          <rPr>
            <sz val="9"/>
            <color indexed="81"/>
            <rFont val="Tahoma"/>
            <family val="2"/>
            <charset val="204"/>
          </rPr>
          <t xml:space="preserve">значение от 0 до 100000
</t>
        </r>
      </text>
    </comment>
    <comment ref="B18" authorId="0">
      <text>
        <r>
          <rPr>
            <sz val="9"/>
            <color indexed="81"/>
            <rFont val="Tahoma"/>
            <family val="2"/>
            <charset val="204"/>
          </rPr>
          <t xml:space="preserve">значение от 500 до 100000
</t>
        </r>
      </text>
    </comment>
    <comment ref="B19" authorId="0">
      <text>
        <r>
          <rPr>
            <sz val="9"/>
            <color indexed="81"/>
            <rFont val="Tahoma"/>
            <family val="2"/>
            <charset val="204"/>
          </rPr>
          <t xml:space="preserve">значение от 500 до 100000
</t>
        </r>
      </text>
    </comment>
    <comment ref="B20" authorId="0">
      <text>
        <r>
          <rPr>
            <sz val="9"/>
            <color indexed="81"/>
            <rFont val="Tahoma"/>
            <family val="2"/>
            <charset val="204"/>
          </rPr>
          <t>значение от 500 до 100000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B21" authorId="0">
      <text>
        <r>
          <rPr>
            <sz val="9"/>
            <color indexed="81"/>
            <rFont val="Tahoma"/>
            <family val="2"/>
            <charset val="204"/>
          </rPr>
          <t>значение от 0,1 до 100</t>
        </r>
      </text>
    </comment>
    <comment ref="B22" authorId="0">
      <text>
        <r>
          <rPr>
            <sz val="9"/>
            <color indexed="81"/>
            <rFont val="Tahoma"/>
            <family val="2"/>
            <charset val="204"/>
          </rPr>
          <t>значение от 0 до 1</t>
        </r>
      </text>
    </comment>
    <comment ref="B23" authorId="0">
      <text>
        <r>
          <rPr>
            <sz val="9"/>
            <color indexed="81"/>
            <rFont val="Tahoma"/>
            <family val="2"/>
            <charset val="204"/>
          </rPr>
          <t>значение от 0 до 10</t>
        </r>
      </text>
    </comment>
    <comment ref="B24" authorId="0">
      <text>
        <r>
          <rPr>
            <sz val="9"/>
            <color indexed="81"/>
            <rFont val="Tahoma"/>
            <family val="2"/>
            <charset val="204"/>
          </rPr>
          <t xml:space="preserve">значение от 0 до 100
</t>
        </r>
      </text>
    </comment>
    <comment ref="B25" authorId="0">
      <text>
        <r>
          <rPr>
            <sz val="9"/>
            <color indexed="81"/>
            <rFont val="Tahoma"/>
            <family val="2"/>
            <charset val="204"/>
          </rPr>
          <t>значение от 0 до 100</t>
        </r>
      </text>
    </comment>
    <comment ref="B26" authorId="0">
      <text>
        <r>
          <rPr>
            <sz val="9"/>
            <color indexed="81"/>
            <rFont val="Tahoma"/>
            <family val="2"/>
            <charset val="204"/>
          </rPr>
          <t xml:space="preserve">значение от 0 до 100
</t>
        </r>
      </text>
    </comment>
    <comment ref="B27" authorId="0">
      <text>
        <r>
          <rPr>
            <sz val="9"/>
            <color indexed="81"/>
            <rFont val="Tahoma"/>
            <family val="2"/>
            <charset val="204"/>
          </rPr>
          <t xml:space="preserve">значение от 0 до 100
</t>
        </r>
      </text>
    </comment>
    <comment ref="B28" authorId="0">
      <text>
        <r>
          <rPr>
            <sz val="9"/>
            <color indexed="81"/>
            <rFont val="Tahoma"/>
            <family val="2"/>
            <charset val="204"/>
          </rPr>
          <t>значение от 0 до 100</t>
        </r>
      </text>
    </comment>
  </commentList>
</comments>
</file>

<file path=xl/comments2.xml><?xml version="1.0" encoding="utf-8"?>
<comments xmlns="http://schemas.openxmlformats.org/spreadsheetml/2006/main">
  <authors>
    <author>dns</author>
  </authors>
  <commentList>
    <comment ref="E2" authorId="0">
      <text>
        <r>
          <rPr>
            <sz val="9"/>
            <color indexed="81"/>
            <rFont val="Calibri"/>
            <family val="2"/>
            <charset val="204"/>
            <scheme val="minor"/>
          </rPr>
          <t>Коэффициент сохранения тепла</t>
        </r>
      </text>
    </comment>
  </commentList>
</comments>
</file>

<file path=xl/sharedStrings.xml><?xml version="1.0" encoding="utf-8"?>
<sst xmlns="http://schemas.openxmlformats.org/spreadsheetml/2006/main" count="378" uniqueCount="249">
  <si>
    <t>Коэффициент расхода воздуха</t>
  </si>
  <si>
    <t>Увеличение коэффициента расхода воздуха(рециркуляция)</t>
  </si>
  <si>
    <t>Изменение температур газовой среды в процессе сушки</t>
  </si>
  <si>
    <t>Значение</t>
  </si>
  <si>
    <t>Ед. измерения</t>
  </si>
  <si>
    <t>кг</t>
  </si>
  <si>
    <t>%</t>
  </si>
  <si>
    <t>˚С</t>
  </si>
  <si>
    <t>м</t>
  </si>
  <si>
    <t>с</t>
  </si>
  <si>
    <t>м2</t>
  </si>
  <si>
    <t>Масса сухого материала</t>
  </si>
  <si>
    <t>Начальная влажность форм</t>
  </si>
  <si>
    <t>Конечная влажность форм</t>
  </si>
  <si>
    <t>Начальная температура материала</t>
  </si>
  <si>
    <t>Масса выносной топки и тележки</t>
  </si>
  <si>
    <t>Температура воздуха</t>
  </si>
  <si>
    <t>Температура рециркулята в конце сушки</t>
  </si>
  <si>
    <t>Толщина кирпича</t>
  </si>
  <si>
    <t>Толщина двери</t>
  </si>
  <si>
    <t>Толщина засыпки</t>
  </si>
  <si>
    <t>Время сушки</t>
  </si>
  <si>
    <t>Время подъёма температуры</t>
  </si>
  <si>
    <t>Время выдержки</t>
  </si>
  <si>
    <t>Время охлаждения</t>
  </si>
  <si>
    <t>Площадь внутренней поверхности двери</t>
  </si>
  <si>
    <t>Диаметр отверстия выходного сечения топок</t>
  </si>
  <si>
    <t>Площадь поперечного сечения топки</t>
  </si>
  <si>
    <t>Площадь внутренней поверхности стен сушильной камеры</t>
  </si>
  <si>
    <t>Площадь внешней поверхности стен сушильной камеры</t>
  </si>
  <si>
    <t>Площадь средней поверхности стен сушильной камеры</t>
  </si>
  <si>
    <t>Площадь свода</t>
  </si>
  <si>
    <t>Высота верха садки над уровнем пола</t>
  </si>
  <si>
    <t>Аэродинамический и температурный режимы</t>
  </si>
  <si>
    <t>Относительный расход</t>
  </si>
  <si>
    <t>Теплосодержание газов(Энтальпия), выходящих из топки в рабочее пространство</t>
  </si>
  <si>
    <t>Температура газов,выходящих из топки</t>
  </si>
  <si>
    <t>Теплосодержание топочных газов</t>
  </si>
  <si>
    <t>Количество воздуха,необходимое для снижения энтальпии продуктов сгорания</t>
  </si>
  <si>
    <t>Величины,найденные путем расчета</t>
  </si>
  <si>
    <t>Ед.Измерения</t>
  </si>
  <si>
    <t>Значения</t>
  </si>
  <si>
    <t>Расчет горения топлива</t>
  </si>
  <si>
    <t>сухой газ</t>
  </si>
  <si>
    <t>влажный газ</t>
  </si>
  <si>
    <t>CH4</t>
  </si>
  <si>
    <t>C3H8</t>
  </si>
  <si>
    <t>C4H10</t>
  </si>
  <si>
    <t>C5H12</t>
  </si>
  <si>
    <t>CO2</t>
  </si>
  <si>
    <t>C2H6</t>
  </si>
  <si>
    <t>N2</t>
  </si>
  <si>
    <t>H2O</t>
  </si>
  <si>
    <t>Сумма всех компонентов</t>
  </si>
  <si>
    <t>Влагосодержание воздуха</t>
  </si>
  <si>
    <t>α</t>
  </si>
  <si>
    <t>Расчет количества кислорода и воздуха для сжигания 1м3 газа</t>
  </si>
  <si>
    <t>Vo2</t>
  </si>
  <si>
    <t xml:space="preserve">Lo </t>
  </si>
  <si>
    <t>Lα</t>
  </si>
  <si>
    <t>м3/м3</t>
  </si>
  <si>
    <t>VoCO2</t>
  </si>
  <si>
    <t>VoH2O</t>
  </si>
  <si>
    <t>VoN2</t>
  </si>
  <si>
    <t>Vo</t>
  </si>
  <si>
    <t>При α=1</t>
  </si>
  <si>
    <t>Расчет объема и состава продуктов сгорания при сжигании 1м3 газа</t>
  </si>
  <si>
    <t>VО2изб</t>
  </si>
  <si>
    <t>При  α=1,15</t>
  </si>
  <si>
    <t>VαCO2</t>
  </si>
  <si>
    <t>VαH2O</t>
  </si>
  <si>
    <t>VαN2</t>
  </si>
  <si>
    <t>Vα</t>
  </si>
  <si>
    <t>Состав при α=1</t>
  </si>
  <si>
    <t>Состав при α =1,15</t>
  </si>
  <si>
    <t>VoСO2</t>
  </si>
  <si>
    <t>Q низшее рабочее</t>
  </si>
  <si>
    <r>
      <rPr>
        <sz val="16"/>
        <color theme="1"/>
        <rFont val="Calibri"/>
        <family val="2"/>
        <charset val="204"/>
        <scheme val="minor"/>
      </rPr>
      <t>i</t>
    </r>
    <r>
      <rPr>
        <sz val="8"/>
        <color theme="1"/>
        <rFont val="Calibri"/>
        <family val="2"/>
        <charset val="204"/>
        <scheme val="minor"/>
      </rPr>
      <t>топл общ</t>
    </r>
  </si>
  <si>
    <r>
      <rPr>
        <sz val="16"/>
        <color theme="1"/>
        <rFont val="Calibri"/>
        <family val="2"/>
        <charset val="204"/>
        <scheme val="minor"/>
      </rPr>
      <t>i</t>
    </r>
    <r>
      <rPr>
        <sz val="8"/>
        <color theme="1"/>
        <rFont val="Calibri"/>
        <family val="2"/>
        <charset val="204"/>
        <scheme val="minor"/>
      </rPr>
      <t>б общ</t>
    </r>
  </si>
  <si>
    <t>Ų избыточного воздуха</t>
  </si>
  <si>
    <t>Расчёт теплоты сгорания и температур горения</t>
  </si>
  <si>
    <t>Ед. Измерения</t>
  </si>
  <si>
    <t>кДж/м3</t>
  </si>
  <si>
    <r>
      <rPr>
        <sz val="16"/>
        <color theme="1"/>
        <rFont val="Calibri"/>
        <family val="2"/>
        <charset val="204"/>
        <scheme val="minor"/>
      </rPr>
      <t>t</t>
    </r>
    <r>
      <rPr>
        <sz val="11"/>
        <color theme="1"/>
        <rFont val="Calibri"/>
        <family val="2"/>
        <charset val="204"/>
        <scheme val="minor"/>
      </rPr>
      <t>тά газов</t>
    </r>
  </si>
  <si>
    <r>
      <rPr>
        <sz val="16"/>
        <color theme="1"/>
        <rFont val="Calibri"/>
        <family val="2"/>
        <charset val="204"/>
        <scheme val="minor"/>
      </rPr>
      <t>t</t>
    </r>
    <r>
      <rPr>
        <sz val="11"/>
        <color theme="1"/>
        <rFont val="Calibri"/>
        <family val="2"/>
        <charset val="204"/>
        <scheme val="minor"/>
      </rPr>
      <t>бά газов</t>
    </r>
  </si>
  <si>
    <t>К</t>
  </si>
  <si>
    <t>0,5*(to+t1)</t>
  </si>
  <si>
    <t xml:space="preserve">                            Исходные данные</t>
  </si>
  <si>
    <t>t</t>
  </si>
  <si>
    <t>t нач</t>
  </si>
  <si>
    <t>tкон</t>
  </si>
  <si>
    <t>Исходные данные камерной сушильной печи</t>
  </si>
  <si>
    <t>Тепловой баланс камерной сушильной печи</t>
  </si>
  <si>
    <t>Расход теплоты на нагревание и удаление влаги</t>
  </si>
  <si>
    <t>Без рециркуляции</t>
  </si>
  <si>
    <t>toсредн</t>
  </si>
  <si>
    <t>t1средн</t>
  </si>
  <si>
    <t>средн t от toсредн и t1средн</t>
  </si>
  <si>
    <t>t2средн</t>
  </si>
  <si>
    <t>°С</t>
  </si>
  <si>
    <t>кДж</t>
  </si>
  <si>
    <t>Потери теплоты с отходящими газами</t>
  </si>
  <si>
    <t>Потери теплоты вследствие хим. недожога</t>
  </si>
  <si>
    <t>Q3</t>
  </si>
  <si>
    <t>Потери теплоты на нагрев приспособлений стенок</t>
  </si>
  <si>
    <t>λ кирпича</t>
  </si>
  <si>
    <t>λ засыпка</t>
  </si>
  <si>
    <t>λ/S свод</t>
  </si>
  <si>
    <t>λ/S двери</t>
  </si>
  <si>
    <t>Потери теплоты топкой</t>
  </si>
  <si>
    <t xml:space="preserve">Q5топ </t>
  </si>
  <si>
    <t xml:space="preserve"> ˚С</t>
  </si>
  <si>
    <t>Потери через свод</t>
  </si>
  <si>
    <t>Потери через двери</t>
  </si>
  <si>
    <t>Общие потери тепла теплопроводностью</t>
  </si>
  <si>
    <t>Аккумулированное тепло стенками раб. простр-ва</t>
  </si>
  <si>
    <t xml:space="preserve"> Средняя температура стенок начальная</t>
  </si>
  <si>
    <t>Средняя температура стенок за 1 период</t>
  </si>
  <si>
    <t>Средняя температура стенок за 2 период</t>
  </si>
  <si>
    <t xml:space="preserve">Среднее изменение температур внутр. пов-ти </t>
  </si>
  <si>
    <t>стенок за 1 период</t>
  </si>
  <si>
    <t>стенок за (1+2) периоды</t>
  </si>
  <si>
    <t>стенок за 2 период</t>
  </si>
  <si>
    <t>Среднее изменение температуры за 3 период</t>
  </si>
  <si>
    <t>Полное изменение температуры внутр.пов-ти стен</t>
  </si>
  <si>
    <t>Коэффициент теплопроводности</t>
  </si>
  <si>
    <t>Приведённое время нагрева</t>
  </si>
  <si>
    <t>Приведенное время охлаждения</t>
  </si>
  <si>
    <t>С рециркуляцией</t>
  </si>
  <si>
    <t>Содержание в газах избыточн. воздуха</t>
  </si>
  <si>
    <t>Количество рециркулята</t>
  </si>
  <si>
    <t>Q2</t>
  </si>
  <si>
    <t>q2</t>
  </si>
  <si>
    <t>Физич. теплота, уносимая отход.газами</t>
  </si>
  <si>
    <t>Q1</t>
  </si>
  <si>
    <t>Q5 топкой</t>
  </si>
  <si>
    <t>Q5 р.п</t>
  </si>
  <si>
    <t>Q6</t>
  </si>
  <si>
    <t>Сумма Q</t>
  </si>
  <si>
    <t>КПД</t>
  </si>
  <si>
    <t>Количество удалённой влаги</t>
  </si>
  <si>
    <t>t.o.ср</t>
  </si>
  <si>
    <t>t.1.ср</t>
  </si>
  <si>
    <t>t.ср(t.1+t.2)ср</t>
  </si>
  <si>
    <t>t.2.ср</t>
  </si>
  <si>
    <t>температура</t>
  </si>
  <si>
    <t>энтальпия</t>
  </si>
  <si>
    <t>Влажность  нач на сухую массу</t>
  </si>
  <si>
    <t>Влажность  кон на сухую массу</t>
  </si>
  <si>
    <t>W c.м нач</t>
  </si>
  <si>
    <t>W c.м кон</t>
  </si>
  <si>
    <t>Температура массы сух.материала</t>
  </si>
  <si>
    <t>t м.кон</t>
  </si>
  <si>
    <t xml:space="preserve">Расход теплоты на нагрев </t>
  </si>
  <si>
    <t>Энтальпия отходящих газов</t>
  </si>
  <si>
    <t>Энтальпия воздуха</t>
  </si>
  <si>
    <t xml:space="preserve"> Потеря теплоты с отходящими газами</t>
  </si>
  <si>
    <t>Q5п.р</t>
  </si>
  <si>
    <t xml:space="preserve">Затраты на нагрев приспособлений </t>
  </si>
  <si>
    <t>t2'</t>
  </si>
  <si>
    <t>Температура наружной поверхности стенок</t>
  </si>
  <si>
    <t>S</t>
  </si>
  <si>
    <t>Q5т.ст</t>
  </si>
  <si>
    <t xml:space="preserve"> Потери теплоты теплопроводностью через стенки</t>
  </si>
  <si>
    <t>Вт/(м*К)</t>
  </si>
  <si>
    <t>λ</t>
  </si>
  <si>
    <t>Коффициент теплопроводности</t>
  </si>
  <si>
    <t>Толщина стенок</t>
  </si>
  <si>
    <t xml:space="preserve">Затраты на нагрев приспособлений и на покрытие </t>
  </si>
  <si>
    <t>Q5т.р.п</t>
  </si>
  <si>
    <t>λк</t>
  </si>
  <si>
    <t>λз</t>
  </si>
  <si>
    <t>Q5т.св</t>
  </si>
  <si>
    <t>Q5т.дв</t>
  </si>
  <si>
    <t>Вт/(м^2*К)</t>
  </si>
  <si>
    <t>λ/Sдв</t>
  </si>
  <si>
    <t>λ/Sсв</t>
  </si>
  <si>
    <t>t ср. нач</t>
  </si>
  <si>
    <t>t ср. 1пер</t>
  </si>
  <si>
    <t>t ср. 2пер</t>
  </si>
  <si>
    <t>Δt ср. 1пер</t>
  </si>
  <si>
    <t>Δt ср. 2пер</t>
  </si>
  <si>
    <t>Δt ср.(1+2)пер</t>
  </si>
  <si>
    <t>Δt ср. 3пер</t>
  </si>
  <si>
    <t>Δt ср. полное</t>
  </si>
  <si>
    <t>λ1</t>
  </si>
  <si>
    <t>τ'</t>
  </si>
  <si>
    <t>τ''</t>
  </si>
  <si>
    <t>η</t>
  </si>
  <si>
    <t>Расход теплоты на 1 кг испаренной влаги</t>
  </si>
  <si>
    <t>кДж/кг</t>
  </si>
  <si>
    <r>
      <t>q</t>
    </r>
    <r>
      <rPr>
        <sz val="8"/>
        <color theme="1"/>
        <rFont val="Calibri"/>
        <family val="2"/>
        <charset val="204"/>
        <scheme val="minor"/>
      </rPr>
      <t>исп</t>
    </r>
  </si>
  <si>
    <r>
      <t>G</t>
    </r>
    <r>
      <rPr>
        <sz val="8"/>
        <color theme="1"/>
        <rFont val="Calibri"/>
        <family val="2"/>
        <charset val="204"/>
        <scheme val="minor"/>
      </rPr>
      <t>вод</t>
    </r>
  </si>
  <si>
    <t>м3/с</t>
  </si>
  <si>
    <t>Qxh</t>
  </si>
  <si>
    <t>Qxh+</t>
  </si>
  <si>
    <t>Приход топлива</t>
  </si>
  <si>
    <t>Расход топлива</t>
  </si>
  <si>
    <t>Tеплота топлива</t>
  </si>
  <si>
    <t>Удельное значение теплоты отходящих газов</t>
  </si>
  <si>
    <r>
      <t>V</t>
    </r>
    <r>
      <rPr>
        <sz val="8"/>
        <color theme="1"/>
        <rFont val="Calibri"/>
        <family val="2"/>
        <charset val="204"/>
        <scheme val="minor"/>
      </rPr>
      <t>lp</t>
    </r>
  </si>
  <si>
    <r>
      <t>Х</t>
    </r>
    <r>
      <rPr>
        <sz val="8"/>
        <color theme="1"/>
        <rFont val="Calibri"/>
        <family val="2"/>
        <charset val="204"/>
        <scheme val="minor"/>
      </rPr>
      <t>р</t>
    </r>
  </si>
  <si>
    <r>
      <t xml:space="preserve">q2’ </t>
    </r>
    <r>
      <rPr>
        <sz val="8"/>
        <color theme="1"/>
        <rFont val="Calibri"/>
        <family val="2"/>
        <charset val="204"/>
        <scheme val="minor"/>
      </rPr>
      <t>о.г</t>
    </r>
  </si>
  <si>
    <t>Qxh’1</t>
  </si>
  <si>
    <t>В</t>
  </si>
  <si>
    <t>В’1</t>
  </si>
  <si>
    <t>Q1’</t>
  </si>
  <si>
    <t>Q2’</t>
  </si>
  <si>
    <t>Q3’</t>
  </si>
  <si>
    <t>Q5 топ’</t>
  </si>
  <si>
    <t>Q5 р.п’</t>
  </si>
  <si>
    <t>Q6’</t>
  </si>
  <si>
    <t>∑ Q’</t>
  </si>
  <si>
    <t>η’</t>
  </si>
  <si>
    <t>qисп’</t>
  </si>
  <si>
    <t>Q 5 р.п</t>
  </si>
  <si>
    <t>Обозначение</t>
  </si>
  <si>
    <t>Z</t>
  </si>
  <si>
    <r>
      <t>i</t>
    </r>
    <r>
      <rPr>
        <sz val="8"/>
        <color theme="1"/>
        <rFont val="Calibri"/>
        <family val="2"/>
        <charset val="204"/>
        <scheme val="minor"/>
      </rPr>
      <t>0</t>
    </r>
  </si>
  <si>
    <r>
      <t>t</t>
    </r>
    <r>
      <rPr>
        <sz val="8"/>
        <color theme="1"/>
        <rFont val="Calibri"/>
        <family val="2"/>
        <charset val="204"/>
        <scheme val="minor"/>
      </rPr>
      <t>0</t>
    </r>
  </si>
  <si>
    <r>
      <t>I</t>
    </r>
    <r>
      <rPr>
        <sz val="8"/>
        <color theme="1"/>
        <rFont val="Calibri"/>
        <family val="2"/>
        <charset val="204"/>
        <scheme val="minor"/>
      </rPr>
      <t>ф</t>
    </r>
  </si>
  <si>
    <r>
      <t>Х</t>
    </r>
    <r>
      <rPr>
        <sz val="8"/>
        <color theme="1"/>
        <rFont val="Calibri"/>
        <family val="2"/>
        <charset val="204"/>
        <scheme val="minor"/>
      </rPr>
      <t>в</t>
    </r>
  </si>
  <si>
    <t>Режимы  и расчёт горения топлива камерной и сушильной печи</t>
  </si>
  <si>
    <t>Обозначения</t>
  </si>
  <si>
    <t>G с.м</t>
  </si>
  <si>
    <r>
      <t>t</t>
    </r>
    <r>
      <rPr>
        <sz val="9"/>
        <color theme="1"/>
        <rFont val="Calibri"/>
        <family val="2"/>
        <charset val="204"/>
        <scheme val="minor"/>
      </rPr>
      <t xml:space="preserve"> м.нач</t>
    </r>
  </si>
  <si>
    <r>
      <t>W1</t>
    </r>
    <r>
      <rPr>
        <sz val="9"/>
        <color theme="1"/>
        <rFont val="Calibri"/>
        <family val="2"/>
        <charset val="204"/>
        <scheme val="minor"/>
      </rPr>
      <t>нач</t>
    </r>
  </si>
  <si>
    <r>
      <t>W2</t>
    </r>
    <r>
      <rPr>
        <sz val="9"/>
        <color theme="1"/>
        <rFont val="Calibri"/>
        <family val="2"/>
        <charset val="204"/>
        <scheme val="minor"/>
      </rPr>
      <t>кон</t>
    </r>
  </si>
  <si>
    <r>
      <t>М</t>
    </r>
    <r>
      <rPr>
        <sz val="9"/>
        <color theme="1"/>
        <rFont val="Calibri"/>
        <family val="2"/>
        <charset val="204"/>
        <scheme val="minor"/>
      </rPr>
      <t>телеги+топок</t>
    </r>
  </si>
  <si>
    <r>
      <t>t</t>
    </r>
    <r>
      <rPr>
        <sz val="9"/>
        <color theme="1"/>
        <rFont val="Calibri"/>
        <family val="2"/>
        <charset val="204"/>
        <scheme val="minor"/>
      </rPr>
      <t>возд</t>
    </r>
  </si>
  <si>
    <r>
      <t>t</t>
    </r>
    <r>
      <rPr>
        <sz val="9"/>
        <color theme="1"/>
        <rFont val="Calibri"/>
        <family val="2"/>
        <charset val="204"/>
        <scheme val="minor"/>
      </rPr>
      <t>рец</t>
    </r>
  </si>
  <si>
    <t>Δα</t>
  </si>
  <si>
    <r>
      <t>S</t>
    </r>
    <r>
      <rPr>
        <sz val="9"/>
        <color theme="1"/>
        <rFont val="Calibri"/>
        <family val="2"/>
        <charset val="204"/>
        <scheme val="minor"/>
      </rPr>
      <t>кирпича</t>
    </r>
  </si>
  <si>
    <r>
      <t>S</t>
    </r>
    <r>
      <rPr>
        <sz val="9"/>
        <color theme="1"/>
        <rFont val="Calibri"/>
        <family val="2"/>
        <charset val="204"/>
        <scheme val="minor"/>
      </rPr>
      <t>двери</t>
    </r>
  </si>
  <si>
    <r>
      <t>S</t>
    </r>
    <r>
      <rPr>
        <sz val="9"/>
        <color theme="1"/>
        <rFont val="Calibri"/>
        <family val="2"/>
        <charset val="204"/>
        <scheme val="minor"/>
      </rPr>
      <t>засыпки</t>
    </r>
  </si>
  <si>
    <r>
      <t>τ</t>
    </r>
    <r>
      <rPr>
        <sz val="9"/>
        <color theme="1"/>
        <rFont val="Calibri"/>
        <family val="2"/>
        <charset val="204"/>
        <scheme val="minor"/>
      </rPr>
      <t>сушки</t>
    </r>
  </si>
  <si>
    <r>
      <t>τ</t>
    </r>
    <r>
      <rPr>
        <sz val="9"/>
        <color theme="1"/>
        <rFont val="Calibri"/>
        <family val="2"/>
        <charset val="204"/>
        <scheme val="minor"/>
      </rPr>
      <t>выдержки</t>
    </r>
  </si>
  <si>
    <r>
      <t>τ</t>
    </r>
    <r>
      <rPr>
        <sz val="9"/>
        <color theme="1"/>
        <rFont val="Calibri"/>
        <family val="2"/>
        <charset val="204"/>
        <scheme val="minor"/>
      </rPr>
      <t>охлаждения</t>
    </r>
  </si>
  <si>
    <r>
      <t>F</t>
    </r>
    <r>
      <rPr>
        <sz val="9"/>
        <color theme="1"/>
        <rFont val="Calibri"/>
        <family val="2"/>
        <charset val="204"/>
        <scheme val="minor"/>
      </rPr>
      <t>двери</t>
    </r>
  </si>
  <si>
    <t>D</t>
  </si>
  <si>
    <r>
      <t>F</t>
    </r>
    <r>
      <rPr>
        <sz val="9"/>
        <color theme="1"/>
        <rFont val="Calibri"/>
        <family val="2"/>
        <charset val="204"/>
        <scheme val="minor"/>
      </rPr>
      <t>внутр</t>
    </r>
  </si>
  <si>
    <r>
      <t>F</t>
    </r>
    <r>
      <rPr>
        <sz val="9"/>
        <color theme="1"/>
        <rFont val="Calibri"/>
        <family val="2"/>
        <charset val="204"/>
        <scheme val="minor"/>
      </rPr>
      <t>сеч</t>
    </r>
  </si>
  <si>
    <r>
      <t>F</t>
    </r>
    <r>
      <rPr>
        <sz val="9"/>
        <color theme="1"/>
        <rFont val="Calibri"/>
        <family val="2"/>
        <charset val="204"/>
        <scheme val="minor"/>
      </rPr>
      <t>внешн</t>
    </r>
  </si>
  <si>
    <r>
      <t>F</t>
    </r>
    <r>
      <rPr>
        <sz val="9"/>
        <color theme="1"/>
        <rFont val="Calibri"/>
        <family val="2"/>
        <charset val="204"/>
        <scheme val="minor"/>
      </rPr>
      <t>сред</t>
    </r>
  </si>
  <si>
    <r>
      <t>F</t>
    </r>
    <r>
      <rPr>
        <sz val="9"/>
        <color theme="1"/>
        <rFont val="Calibri"/>
        <family val="2"/>
        <charset val="204"/>
        <scheme val="minor"/>
      </rPr>
      <t>свода</t>
    </r>
  </si>
  <si>
    <t>L</t>
  </si>
  <si>
    <t>Тепловой баланс (без рециркуляции)</t>
  </si>
  <si>
    <r>
      <t xml:space="preserve">i2 </t>
    </r>
    <r>
      <rPr>
        <sz val="9"/>
        <color theme="1"/>
        <rFont val="Calibri"/>
        <family val="2"/>
        <charset val="204"/>
        <scheme val="minor"/>
      </rPr>
      <t>о.г</t>
    </r>
  </si>
  <si>
    <r>
      <t xml:space="preserve">i2 </t>
    </r>
    <r>
      <rPr>
        <sz val="9"/>
        <color theme="1"/>
        <rFont val="Calibri"/>
        <family val="2"/>
        <charset val="204"/>
        <scheme val="minor"/>
      </rPr>
      <t>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</si>
</sst>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8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sz val="9"/>
      <color indexed="8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3" fillId="0" borderId="12" xfId="0" applyFont="1" applyBorder="1"/>
    <xf numFmtId="0" fontId="5" fillId="0" borderId="0" xfId="0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6" fillId="0" borderId="0" xfId="0" applyFont="1"/>
    <xf numFmtId="0" fontId="0" fillId="0" borderId="17" xfId="0" applyBorder="1"/>
    <xf numFmtId="0" fontId="0" fillId="0" borderId="12" xfId="0" applyFont="1" applyFill="1" applyBorder="1" applyAlignment="1">
      <alignment horizontal="center"/>
    </xf>
    <xf numFmtId="0" fontId="4" fillId="0" borderId="0" xfId="0" applyFont="1"/>
    <xf numFmtId="0" fontId="9" fillId="0" borderId="6" xfId="0" applyFont="1" applyFill="1" applyBorder="1"/>
    <xf numFmtId="0" fontId="0" fillId="0" borderId="4" xfId="0" applyFont="1" applyFill="1" applyBorder="1"/>
    <xf numFmtId="0" fontId="0" fillId="0" borderId="5" xfId="0" applyFont="1" applyFill="1" applyBorder="1"/>
    <xf numFmtId="0" fontId="0" fillId="0" borderId="0" xfId="0" applyFill="1"/>
    <xf numFmtId="0" fontId="0" fillId="0" borderId="5" xfId="0" applyFill="1" applyBorder="1" applyAlignment="1">
      <alignment horizontal="center"/>
    </xf>
    <xf numFmtId="0" fontId="0" fillId="0" borderId="7" xfId="0" applyFont="1" applyFill="1" applyBorder="1"/>
    <xf numFmtId="0" fontId="0" fillId="0" borderId="3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0" fontId="0" fillId="0" borderId="9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4" borderId="0" xfId="0" applyFont="1" applyFill="1"/>
    <xf numFmtId="0" fontId="0" fillId="4" borderId="2" xfId="0" applyFont="1" applyFill="1" applyBorder="1"/>
    <xf numFmtId="0" fontId="0" fillId="4" borderId="8" xfId="0" applyFont="1" applyFill="1" applyBorder="1"/>
    <xf numFmtId="0" fontId="0" fillId="4" borderId="3" xfId="0" applyFont="1" applyFill="1" applyBorder="1"/>
    <xf numFmtId="0" fontId="0" fillId="4" borderId="9" xfId="0" applyFont="1" applyFill="1" applyBorder="1"/>
    <xf numFmtId="0" fontId="0" fillId="4" borderId="10" xfId="0" applyFont="1" applyFill="1" applyBorder="1"/>
    <xf numFmtId="0" fontId="0" fillId="4" borderId="10" xfId="0" applyFont="1" applyFill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0" fontId="0" fillId="4" borderId="5" xfId="0" applyFont="1" applyFill="1" applyBorder="1" applyAlignment="1">
      <alignment horizontal="center"/>
    </xf>
    <xf numFmtId="0" fontId="0" fillId="4" borderId="9" xfId="0" applyFont="1" applyFill="1" applyBorder="1" applyAlignment="1">
      <alignment horizontal="center"/>
    </xf>
    <xf numFmtId="0" fontId="0" fillId="4" borderId="4" xfId="0" applyFont="1" applyFill="1" applyBorder="1" applyAlignment="1">
      <alignment horizontal="center"/>
    </xf>
    <xf numFmtId="0" fontId="0" fillId="4" borderId="1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/>
    <xf numFmtId="0" fontId="0" fillId="0" borderId="13" xfId="0" applyFill="1" applyBorder="1" applyAlignment="1">
      <alignment horizontal="center"/>
    </xf>
    <xf numFmtId="0" fontId="0" fillId="2" borderId="19" xfId="0" applyFill="1" applyBorder="1"/>
    <xf numFmtId="0" fontId="0" fillId="2" borderId="20" xfId="0" applyFill="1" applyBorder="1"/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/>
    <xf numFmtId="0" fontId="0" fillId="0" borderId="24" xfId="0" applyBorder="1"/>
    <xf numFmtId="0" fontId="0" fillId="0" borderId="24" xfId="0" applyBorder="1" applyAlignment="1">
      <alignment horizontal="center"/>
    </xf>
    <xf numFmtId="0" fontId="0" fillId="5" borderId="0" xfId="0" applyFill="1"/>
    <xf numFmtId="0" fontId="0" fillId="0" borderId="25" xfId="0" applyBorder="1"/>
    <xf numFmtId="0" fontId="0" fillId="0" borderId="26" xfId="0" applyBorder="1"/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2" borderId="18" xfId="0" applyFill="1" applyBorder="1"/>
    <xf numFmtId="0" fontId="0" fillId="4" borderId="0" xfId="0" applyFill="1" applyBorder="1"/>
    <xf numFmtId="0" fontId="0" fillId="4" borderId="0" xfId="0" applyFill="1" applyBorder="1" applyAlignment="1">
      <alignment horizontal="center"/>
    </xf>
    <xf numFmtId="0" fontId="0" fillId="4" borderId="12" xfId="0" applyFill="1" applyBorder="1"/>
    <xf numFmtId="0" fontId="5" fillId="2" borderId="13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2" xfId="0" applyFill="1" applyBorder="1"/>
    <xf numFmtId="0" fontId="0" fillId="3" borderId="13" xfId="0" applyFill="1" applyBorder="1" applyAlignment="1">
      <alignment horizontal="center"/>
    </xf>
    <xf numFmtId="0" fontId="0" fillId="3" borderId="13" xfId="0" applyFill="1" applyBorder="1"/>
    <xf numFmtId="0" fontId="0" fillId="3" borderId="25" xfId="0" applyFill="1" applyBorder="1"/>
    <xf numFmtId="0" fontId="0" fillId="6" borderId="12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25" xfId="0" applyFill="1" applyBorder="1"/>
    <xf numFmtId="0" fontId="0" fillId="6" borderId="26" xfId="0" applyFill="1" applyBorder="1"/>
    <xf numFmtId="0" fontId="0" fillId="6" borderId="12" xfId="0" applyFill="1" applyBorder="1"/>
    <xf numFmtId="0" fontId="0" fillId="6" borderId="21" xfId="0" applyFill="1" applyBorder="1"/>
    <xf numFmtId="0" fontId="0" fillId="6" borderId="22" xfId="0" applyFill="1" applyBorder="1"/>
    <xf numFmtId="0" fontId="0" fillId="6" borderId="22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4" borderId="0" xfId="0" applyFill="1"/>
    <xf numFmtId="0" fontId="0" fillId="0" borderId="16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9" xfId="0" applyFont="1" applyFill="1" applyBorder="1"/>
    <xf numFmtId="0" fontId="6" fillId="0" borderId="9" xfId="0" applyFont="1" applyFill="1" applyBorder="1" applyAlignment="1">
      <alignment horizontal="center"/>
    </xf>
    <xf numFmtId="0" fontId="0" fillId="4" borderId="12" xfId="0" applyFont="1" applyFill="1" applyBorder="1"/>
    <xf numFmtId="0" fontId="0" fillId="3" borderId="0" xfId="0" applyFill="1" applyAlignment="1">
      <alignment horizontal="center"/>
    </xf>
    <xf numFmtId="0" fontId="5" fillId="2" borderId="0" xfId="0" applyFont="1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Температурный</a:t>
            </a:r>
            <a:r>
              <a:rPr lang="ru-RU" baseline="0"/>
              <a:t> режим камерной сушильной печи</a:t>
            </a:r>
            <a:endParaRPr lang="ru-RU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 топочных газов в начальный момент</c:v>
          </c:tx>
          <c:cat>
            <c:strRef>
              <c:f>'Исходные данные'!$H$7:$J$7</c:f>
              <c:strCache>
                <c:ptCount val="3"/>
                <c:pt idx="0">
                  <c:v>t нач</c:v>
                </c:pt>
                <c:pt idx="1">
                  <c:v>t</c:v>
                </c:pt>
                <c:pt idx="2">
                  <c:v>tкон</c:v>
                </c:pt>
              </c:strCache>
            </c:strRef>
          </c:cat>
          <c:val>
            <c:numRef>
              <c:f>'Исходные данные'!$H$8:$J$8</c:f>
              <c:numCache>
                <c:formatCode>General</c:formatCode>
                <c:ptCount val="3"/>
                <c:pt idx="0">
                  <c:v>550</c:v>
                </c:pt>
                <c:pt idx="1">
                  <c:v>800</c:v>
                </c:pt>
                <c:pt idx="2">
                  <c:v>650</c:v>
                </c:pt>
              </c:numCache>
            </c:numRef>
          </c:val>
          <c:smooth val="0"/>
        </c:ser>
        <c:ser>
          <c:idx val="1"/>
          <c:order val="1"/>
          <c:tx>
            <c:v>технологические параметры сушки</c:v>
          </c:tx>
          <c:cat>
            <c:strRef>
              <c:f>'Исходные данные'!$H$7:$J$7</c:f>
              <c:strCache>
                <c:ptCount val="3"/>
                <c:pt idx="0">
                  <c:v>t нач</c:v>
                </c:pt>
                <c:pt idx="1">
                  <c:v>t</c:v>
                </c:pt>
                <c:pt idx="2">
                  <c:v>tкон</c:v>
                </c:pt>
              </c:strCache>
            </c:strRef>
          </c:cat>
          <c:val>
            <c:numRef>
              <c:f>'Исходные данные'!$H$9:$J$9</c:f>
              <c:numCache>
                <c:formatCode>General</c:formatCode>
                <c:ptCount val="3"/>
                <c:pt idx="0">
                  <c:v>200</c:v>
                </c:pt>
                <c:pt idx="1">
                  <c:v>400</c:v>
                </c:pt>
                <c:pt idx="2">
                  <c:v>400</c:v>
                </c:pt>
              </c:numCache>
            </c:numRef>
          </c:val>
          <c:smooth val="0"/>
        </c:ser>
        <c:ser>
          <c:idx val="2"/>
          <c:order val="2"/>
          <c:tx>
            <c:v>t отходящих газов</c:v>
          </c:tx>
          <c:cat>
            <c:strRef>
              <c:f>'Исходные данные'!$H$7:$J$7</c:f>
              <c:strCache>
                <c:ptCount val="3"/>
                <c:pt idx="0">
                  <c:v>t нач</c:v>
                </c:pt>
                <c:pt idx="1">
                  <c:v>t</c:v>
                </c:pt>
                <c:pt idx="2">
                  <c:v>tкон</c:v>
                </c:pt>
              </c:strCache>
            </c:strRef>
          </c:cat>
          <c:val>
            <c:numRef>
              <c:f>'Исходные данные'!$H$10:$J$10</c:f>
              <c:numCache>
                <c:formatCode>General</c:formatCode>
                <c:ptCount val="3"/>
                <c:pt idx="0">
                  <c:v>100</c:v>
                </c:pt>
                <c:pt idx="1">
                  <c:v>330</c:v>
                </c:pt>
                <c:pt idx="2">
                  <c:v>350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63168"/>
        <c:axId val="48693632"/>
      </c:lineChart>
      <c:catAx>
        <c:axId val="4866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93632"/>
        <c:crosses val="autoZero"/>
        <c:auto val="1"/>
        <c:lblAlgn val="ctr"/>
        <c:lblOffset val="100"/>
        <c:noMultiLvlLbl val="0"/>
      </c:catAx>
      <c:valAx>
        <c:axId val="48693632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486631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100"/>
              <a:t>График зависимости  коэффициента тепла от полусуммы температур</a:t>
            </a:r>
          </a:p>
        </c:rich>
      </c:tx>
      <c:layout>
        <c:manualLayout>
          <c:xMode val="edge"/>
          <c:yMode val="edge"/>
          <c:x val="0.10849703561689741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462751531058617"/>
          <c:y val="0.16251166520851559"/>
          <c:w val="0.81924759405074365"/>
          <c:h val="0.6901888305628463"/>
        </c:manualLayout>
      </c:layout>
      <c:scatterChart>
        <c:scatterStyle val="smoothMarker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'Расчет горения топлива'!$G$25:$G$29</c:f>
              <c:numCache>
                <c:formatCode>General</c:formatCode>
                <c:ptCount val="5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</c:numCache>
            </c:numRef>
          </c:xVal>
          <c:yVal>
            <c:numRef>
              <c:f>'Расчет горения топлива'!$H$25:$H$29</c:f>
              <c:numCache>
                <c:formatCode>General</c:formatCode>
                <c:ptCount val="5"/>
                <c:pt idx="0">
                  <c:v>0.9</c:v>
                </c:pt>
                <c:pt idx="1">
                  <c:v>0.8</c:v>
                </c:pt>
                <c:pt idx="2">
                  <c:v>0.7</c:v>
                </c:pt>
                <c:pt idx="3">
                  <c:v>0.6</c:v>
                </c:pt>
                <c:pt idx="4">
                  <c:v>0.5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44992"/>
        <c:axId val="48251264"/>
      </c:scatterChart>
      <c:valAx>
        <c:axId val="48244992"/>
        <c:scaling>
          <c:orientation val="minMax"/>
          <c:min val="3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полусумма температур, ˚С</a:t>
                </a:r>
              </a:p>
            </c:rich>
          </c:tx>
          <c:layout>
            <c:manualLayout>
              <c:xMode val="edge"/>
              <c:yMode val="edge"/>
              <c:x val="0.389827646544182"/>
              <c:y val="0.9177544473607466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8251264"/>
        <c:crosses val="autoZero"/>
        <c:crossBetween val="midCat"/>
      </c:valAx>
      <c:valAx>
        <c:axId val="48251264"/>
        <c:scaling>
          <c:orientation val="minMax"/>
          <c:min val="0.35000000000000003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ru-RU"/>
                  <a:t>коэффициент сохранения теплоты</a:t>
                </a:r>
              </a:p>
            </c:rich>
          </c:tx>
          <c:layout>
            <c:manualLayout>
              <c:xMode val="edge"/>
              <c:yMode val="edge"/>
              <c:x val="5.5555555555555558E-3"/>
              <c:y val="0.1472703412073490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82449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 - </a:t>
            </a:r>
            <a:r>
              <a:rPr lang="ru-RU"/>
              <a:t>диаграмма природного газа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25161854768154"/>
          <c:y val="0.10781806863325213"/>
          <c:w val="0.80876159230096234"/>
          <c:h val="0.7122205854740874"/>
        </c:manualLayout>
      </c:layout>
      <c:scatterChart>
        <c:scatterStyle val="smoothMarker"/>
        <c:varyColors val="0"/>
        <c:ser>
          <c:idx val="0"/>
          <c:order val="0"/>
          <c:tx>
            <c:v>энтальпия газов, кДж/м3</c:v>
          </c:tx>
          <c:spPr>
            <a:ln w="38100"/>
          </c:spPr>
          <c:marker>
            <c:symbol val="none"/>
          </c:marker>
          <c:trendline>
            <c:trendlineType val="power"/>
            <c:dispRSqr val="0"/>
            <c:dispEq val="1"/>
            <c:trendlineLbl>
              <c:numFmt formatCode="General" sourceLinked="0"/>
            </c:trendlineLbl>
          </c:trendline>
          <c:trendline>
            <c:trendlineType val="poly"/>
            <c:order val="2"/>
            <c:dispRSqr val="0"/>
            <c:dispEq val="0"/>
          </c:trendline>
          <c:xVal>
            <c:numRef>
              <c:f>'Расчет горения топлива'!$H$37:$R$37</c:f>
              <c:numCache>
                <c:formatCode>General</c:formatCode>
                <c:ptCount val="11"/>
                <c:pt idx="0">
                  <c:v>100</c:v>
                </c:pt>
                <c:pt idx="1">
                  <c:v>500</c:v>
                </c:pt>
                <c:pt idx="2">
                  <c:v>800</c:v>
                </c:pt>
                <c:pt idx="3">
                  <c:v>1100</c:v>
                </c:pt>
                <c:pt idx="4">
                  <c:v>1400</c:v>
                </c:pt>
                <c:pt idx="5">
                  <c:v>2300</c:v>
                </c:pt>
                <c:pt idx="6">
                  <c:v>2700</c:v>
                </c:pt>
                <c:pt idx="7">
                  <c:v>3000</c:v>
                </c:pt>
                <c:pt idx="8">
                  <c:v>3500</c:v>
                </c:pt>
                <c:pt idx="9">
                  <c:v>3900</c:v>
                </c:pt>
                <c:pt idx="10">
                  <c:v>4500</c:v>
                </c:pt>
              </c:numCache>
            </c:numRef>
          </c:xVal>
          <c:yVal>
            <c:numRef>
              <c:f>'Расчет горения топлива'!$H$36:$R$36</c:f>
              <c:numCache>
                <c:formatCode>General</c:formatCode>
                <c:ptCount val="11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1400</c:v>
                </c:pt>
                <c:pt idx="6">
                  <c:v>1600</c:v>
                </c:pt>
                <c:pt idx="7">
                  <c:v>1800</c:v>
                </c:pt>
                <c:pt idx="8">
                  <c:v>2000</c:v>
                </c:pt>
                <c:pt idx="9">
                  <c:v>2200</c:v>
                </c:pt>
                <c:pt idx="10">
                  <c:v>2400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69184"/>
        <c:axId val="48271360"/>
      </c:scatterChart>
      <c:valAx>
        <c:axId val="48269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энтальпия газов, кДж/м3</a:t>
                </a:r>
              </a:p>
            </c:rich>
          </c:tx>
          <c:layout>
            <c:manualLayout>
              <c:xMode val="edge"/>
              <c:yMode val="edge"/>
              <c:x val="0.36240398075240593"/>
              <c:y val="0.9036111111111111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8271360"/>
        <c:crosses val="autoZero"/>
        <c:crossBetween val="midCat"/>
      </c:valAx>
      <c:valAx>
        <c:axId val="48271360"/>
        <c:scaling>
          <c:orientation val="minMax"/>
          <c:max val="25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ru-RU"/>
                  <a:t>температура, оС</a:t>
                </a:r>
              </a:p>
            </c:rich>
          </c:tx>
          <c:layout>
            <c:manualLayout>
              <c:xMode val="edge"/>
              <c:yMode val="edge"/>
              <c:x val="2.7777777777777779E-3"/>
              <c:y val="0.3078955234762321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82691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Распределение теплового баланса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'Тепловой баланс'!$I$31:$I$36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Q5 топкой</c:v>
                </c:pt>
                <c:pt idx="4">
                  <c:v>Q5 р.п</c:v>
                </c:pt>
                <c:pt idx="5">
                  <c:v>Q6</c:v>
                </c:pt>
              </c:strCache>
            </c:strRef>
          </c:cat>
          <c:val>
            <c:numRef>
              <c:f>'Тепловой баланс'!$K$31:$K$36</c:f>
              <c:numCache>
                <c:formatCode>General</c:formatCode>
                <c:ptCount val="6"/>
                <c:pt idx="0">
                  <c:v>13.780540216156197</c:v>
                </c:pt>
                <c:pt idx="1">
                  <c:v>25.148443622864729</c:v>
                </c:pt>
                <c:pt idx="2">
                  <c:v>1.9999995721685557</c:v>
                </c:pt>
                <c:pt idx="3">
                  <c:v>19.999995721685558</c:v>
                </c:pt>
                <c:pt idx="4">
                  <c:v>33.269984389185311</c:v>
                </c:pt>
                <c:pt idx="5">
                  <c:v>5.8010364779396397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11</xdr:row>
      <xdr:rowOff>200025</xdr:rowOff>
    </xdr:from>
    <xdr:to>
      <xdr:col>16</xdr:col>
      <xdr:colOff>9525</xdr:colOff>
      <xdr:row>27</xdr:row>
      <xdr:rowOff>123825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438150</xdr:colOff>
      <xdr:row>21</xdr:row>
      <xdr:rowOff>171450</xdr:rowOff>
    </xdr:from>
    <xdr:to>
      <xdr:col>17</xdr:col>
      <xdr:colOff>216402</xdr:colOff>
      <xdr:row>33</xdr:row>
      <xdr:rowOff>123825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39</xdr:row>
      <xdr:rowOff>0</xdr:rowOff>
    </xdr:from>
    <xdr:to>
      <xdr:col>17</xdr:col>
      <xdr:colOff>95250</xdr:colOff>
      <xdr:row>54</xdr:row>
      <xdr:rowOff>138114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57149</xdr:colOff>
      <xdr:row>38</xdr:row>
      <xdr:rowOff>95250</xdr:rowOff>
    </xdr:from>
    <xdr:to>
      <xdr:col>11</xdr:col>
      <xdr:colOff>219075</xdr:colOff>
      <xdr:row>53</xdr:row>
      <xdr:rowOff>57150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201485</xdr:colOff>
      <xdr:row>10</xdr:row>
      <xdr:rowOff>50482</xdr:rowOff>
    </xdr:from>
    <xdr:ext cx="1063879" cy="264560"/>
    <xdr:sp macro="" textlink="">
      <xdr:nvSpPr>
        <xdr:cNvPr id="3" name="TextBox 2"/>
        <xdr:cNvSpPr txBox="1"/>
      </xdr:nvSpPr>
      <xdr:spPr>
        <a:xfrm>
          <a:off x="5878385" y="1974532"/>
          <a:ext cx="10638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>
    <tabColor rgb="FFC00000"/>
  </sheetPr>
  <dimension ref="A1:L31"/>
  <sheetViews>
    <sheetView workbookViewId="0">
      <selection activeCell="D37" sqref="D37"/>
    </sheetView>
  </sheetViews>
  <sheetFormatPr defaultRowHeight="15" x14ac:dyDescent="0.25"/>
  <cols>
    <col min="1" max="1" width="61.140625" customWidth="1"/>
    <col min="2" max="2" width="9.85546875" customWidth="1"/>
    <col min="3" max="3" width="14.28515625" customWidth="1"/>
    <col min="4" max="4" width="13.140625" customWidth="1"/>
    <col min="6" max="6" width="11" customWidth="1"/>
    <col min="7" max="7" width="8.7109375" customWidth="1"/>
  </cols>
  <sheetData>
    <row r="1" spans="1:12" x14ac:dyDescent="0.25">
      <c r="A1" s="38" t="s">
        <v>91</v>
      </c>
      <c r="B1" s="1"/>
      <c r="G1" s="1"/>
    </row>
    <row r="2" spans="1:12" x14ac:dyDescent="0.25">
      <c r="A2" s="1"/>
      <c r="B2" s="1"/>
      <c r="F2" s="1"/>
    </row>
    <row r="3" spans="1:12" ht="15.75" thickBot="1" x14ac:dyDescent="0.3">
      <c r="A3" s="2"/>
      <c r="B3" s="2"/>
      <c r="C3" s="2"/>
      <c r="D3" s="2"/>
      <c r="E3" s="1"/>
    </row>
    <row r="4" spans="1:12" ht="17.25" thickTop="1" thickBot="1" x14ac:dyDescent="0.3">
      <c r="A4" s="15" t="s">
        <v>87</v>
      </c>
      <c r="B4" s="16" t="s">
        <v>3</v>
      </c>
      <c r="C4" s="17" t="s">
        <v>4</v>
      </c>
      <c r="D4" s="79" t="s">
        <v>223</v>
      </c>
      <c r="E4" s="1"/>
      <c r="F4" s="26"/>
      <c r="G4" s="26"/>
      <c r="H4" s="26"/>
      <c r="I4" s="26"/>
      <c r="J4" s="26"/>
      <c r="K4" s="26"/>
      <c r="L4" s="26"/>
    </row>
    <row r="5" spans="1:12" ht="16.5" thickTop="1" thickBot="1" x14ac:dyDescent="0.3">
      <c r="A5" s="17" t="s">
        <v>11</v>
      </c>
      <c r="B5" s="21">
        <v>10000</v>
      </c>
      <c r="C5" s="19" t="s">
        <v>5</v>
      </c>
      <c r="D5" s="24" t="s">
        <v>224</v>
      </c>
      <c r="F5" s="26"/>
      <c r="G5" s="26"/>
      <c r="H5" s="26"/>
      <c r="I5" s="26"/>
      <c r="J5" s="26"/>
      <c r="K5" s="26"/>
      <c r="L5" s="26"/>
    </row>
    <row r="6" spans="1:12" ht="16.5" thickTop="1" thickBot="1" x14ac:dyDescent="0.3">
      <c r="A6" s="17" t="s">
        <v>12</v>
      </c>
      <c r="B6" s="21">
        <v>8</v>
      </c>
      <c r="C6" s="19" t="s">
        <v>6</v>
      </c>
      <c r="D6" s="24" t="s">
        <v>226</v>
      </c>
      <c r="F6" s="27"/>
      <c r="G6" s="28" t="s">
        <v>2</v>
      </c>
      <c r="H6" s="29"/>
      <c r="I6" s="29"/>
      <c r="J6" s="29"/>
      <c r="K6" s="29"/>
      <c r="L6" s="30"/>
    </row>
    <row r="7" spans="1:12" ht="16.5" thickTop="1" thickBot="1" x14ac:dyDescent="0.3">
      <c r="A7" s="20" t="s">
        <v>13</v>
      </c>
      <c r="B7" s="22">
        <v>2</v>
      </c>
      <c r="C7" s="19" t="s">
        <v>6</v>
      </c>
      <c r="D7" s="24" t="s">
        <v>227</v>
      </c>
      <c r="E7" s="1"/>
      <c r="F7" s="27"/>
      <c r="G7" s="31"/>
      <c r="H7" s="32" t="s">
        <v>89</v>
      </c>
      <c r="I7" s="32" t="s">
        <v>88</v>
      </c>
      <c r="J7" s="33" t="s">
        <v>90</v>
      </c>
      <c r="K7" s="26"/>
      <c r="L7" s="26"/>
    </row>
    <row r="8" spans="1:12" ht="16.5" thickTop="1" thickBot="1" x14ac:dyDescent="0.3">
      <c r="A8" s="17" t="s">
        <v>14</v>
      </c>
      <c r="B8" s="21">
        <v>0</v>
      </c>
      <c r="C8" s="19" t="s">
        <v>7</v>
      </c>
      <c r="D8" s="24" t="s">
        <v>225</v>
      </c>
      <c r="F8" s="27"/>
      <c r="G8" s="34">
        <v>0</v>
      </c>
      <c r="H8" s="34">
        <v>550</v>
      </c>
      <c r="I8" s="34">
        <v>800</v>
      </c>
      <c r="J8" s="35">
        <v>650</v>
      </c>
      <c r="K8" s="26"/>
      <c r="L8" s="26"/>
    </row>
    <row r="9" spans="1:12" ht="16.5" thickTop="1" thickBot="1" x14ac:dyDescent="0.3">
      <c r="A9" s="16" t="s">
        <v>0</v>
      </c>
      <c r="B9" s="22">
        <v>1.1499999999999999</v>
      </c>
      <c r="C9" s="19"/>
      <c r="D9" s="80" t="s">
        <v>55</v>
      </c>
      <c r="F9" s="27"/>
      <c r="G9" s="34">
        <v>1</v>
      </c>
      <c r="H9" s="34">
        <v>200</v>
      </c>
      <c r="I9" s="34">
        <v>400</v>
      </c>
      <c r="J9" s="35">
        <v>400</v>
      </c>
      <c r="K9" s="26"/>
      <c r="L9" s="26"/>
    </row>
    <row r="10" spans="1:12" ht="16.5" thickTop="1" thickBot="1" x14ac:dyDescent="0.3">
      <c r="A10" s="17" t="s">
        <v>15</v>
      </c>
      <c r="B10" s="21">
        <v>2000</v>
      </c>
      <c r="C10" s="19" t="s">
        <v>5</v>
      </c>
      <c r="D10" s="24" t="s">
        <v>228</v>
      </c>
      <c r="F10" s="27"/>
      <c r="G10" s="36">
        <v>2</v>
      </c>
      <c r="H10" s="36">
        <v>100</v>
      </c>
      <c r="I10" s="36">
        <v>330</v>
      </c>
      <c r="J10" s="37">
        <v>350</v>
      </c>
      <c r="K10" s="26"/>
      <c r="L10" s="26"/>
    </row>
    <row r="11" spans="1:12" ht="16.5" thickTop="1" thickBot="1" x14ac:dyDescent="0.3">
      <c r="A11" s="17" t="s">
        <v>16</v>
      </c>
      <c r="B11" s="22">
        <v>20</v>
      </c>
      <c r="C11" s="19" t="s">
        <v>7</v>
      </c>
      <c r="D11" s="24" t="s">
        <v>229</v>
      </c>
    </row>
    <row r="12" spans="1:12" ht="16.5" thickTop="1" thickBot="1" x14ac:dyDescent="0.3">
      <c r="A12" s="17" t="s">
        <v>17</v>
      </c>
      <c r="B12" s="23">
        <v>230</v>
      </c>
      <c r="C12" s="19" t="s">
        <v>7</v>
      </c>
      <c r="D12" s="24" t="s">
        <v>230</v>
      </c>
    </row>
    <row r="13" spans="1:12" ht="16.5" thickTop="1" thickBot="1" x14ac:dyDescent="0.3">
      <c r="A13" s="20" t="s">
        <v>1</v>
      </c>
      <c r="B13" s="22">
        <v>0.3</v>
      </c>
      <c r="C13" s="19"/>
      <c r="D13" s="24" t="s">
        <v>231</v>
      </c>
    </row>
    <row r="14" spans="1:12" ht="16.5" thickTop="1" thickBot="1" x14ac:dyDescent="0.3">
      <c r="A14" s="17" t="s">
        <v>18</v>
      </c>
      <c r="B14" s="21">
        <v>0.12</v>
      </c>
      <c r="C14" s="19" t="s">
        <v>8</v>
      </c>
      <c r="D14" s="24" t="s">
        <v>232</v>
      </c>
    </row>
    <row r="15" spans="1:12" ht="16.5" thickTop="1" thickBot="1" x14ac:dyDescent="0.3">
      <c r="A15" s="20" t="s">
        <v>19</v>
      </c>
      <c r="B15" s="22">
        <v>0.04</v>
      </c>
      <c r="C15" s="19" t="s">
        <v>8</v>
      </c>
      <c r="D15" s="24" t="s">
        <v>233</v>
      </c>
    </row>
    <row r="16" spans="1:12" ht="16.5" thickTop="1" thickBot="1" x14ac:dyDescent="0.3">
      <c r="A16" s="17" t="s">
        <v>20</v>
      </c>
      <c r="B16" s="21">
        <v>0.08</v>
      </c>
      <c r="C16" s="19" t="s">
        <v>8</v>
      </c>
      <c r="D16" s="24" t="s">
        <v>234</v>
      </c>
    </row>
    <row r="17" spans="1:4" ht="16.5" thickTop="1" thickBot="1" x14ac:dyDescent="0.3">
      <c r="A17" s="20" t="s">
        <v>21</v>
      </c>
      <c r="B17" s="22">
        <v>28800</v>
      </c>
      <c r="C17" s="19" t="s">
        <v>9</v>
      </c>
      <c r="D17" s="24" t="s">
        <v>235</v>
      </c>
    </row>
    <row r="18" spans="1:4" ht="16.5" thickTop="1" thickBot="1" x14ac:dyDescent="0.3">
      <c r="A18" s="17" t="s">
        <v>22</v>
      </c>
      <c r="B18" s="21">
        <v>14400</v>
      </c>
      <c r="C18" s="19" t="s">
        <v>9</v>
      </c>
      <c r="D18" s="24"/>
    </row>
    <row r="19" spans="1:4" ht="16.5" thickTop="1" thickBot="1" x14ac:dyDescent="0.3">
      <c r="A19" s="20" t="s">
        <v>23</v>
      </c>
      <c r="B19" s="22">
        <v>14400</v>
      </c>
      <c r="C19" s="19" t="s">
        <v>9</v>
      </c>
      <c r="D19" s="24" t="s">
        <v>236</v>
      </c>
    </row>
    <row r="20" spans="1:4" ht="16.5" thickTop="1" thickBot="1" x14ac:dyDescent="0.3">
      <c r="A20" s="17" t="s">
        <v>24</v>
      </c>
      <c r="B20" s="21">
        <v>25200</v>
      </c>
      <c r="C20" s="19" t="s">
        <v>9</v>
      </c>
      <c r="D20" s="24" t="s">
        <v>237</v>
      </c>
    </row>
    <row r="21" spans="1:4" ht="16.5" thickTop="1" thickBot="1" x14ac:dyDescent="0.3">
      <c r="A21" s="20" t="s">
        <v>25</v>
      </c>
      <c r="B21" s="22">
        <v>9.25</v>
      </c>
      <c r="C21" s="19" t="s">
        <v>10</v>
      </c>
      <c r="D21" s="24" t="s">
        <v>238</v>
      </c>
    </row>
    <row r="22" spans="1:4" ht="16.5" thickTop="1" thickBot="1" x14ac:dyDescent="0.3">
      <c r="A22" s="17" t="s">
        <v>26</v>
      </c>
      <c r="B22" s="21">
        <v>9.5000000000000001E-2</v>
      </c>
      <c r="C22" s="19" t="s">
        <v>8</v>
      </c>
      <c r="D22" s="24" t="s">
        <v>239</v>
      </c>
    </row>
    <row r="23" spans="1:4" ht="16.5" thickTop="1" thickBot="1" x14ac:dyDescent="0.3">
      <c r="A23" s="20" t="s">
        <v>27</v>
      </c>
      <c r="B23" s="22">
        <v>0.432</v>
      </c>
      <c r="C23" s="19" t="s">
        <v>10</v>
      </c>
      <c r="D23" s="24" t="s">
        <v>241</v>
      </c>
    </row>
    <row r="24" spans="1:4" ht="16.5" thickTop="1" thickBot="1" x14ac:dyDescent="0.3">
      <c r="A24" s="17" t="s">
        <v>28</v>
      </c>
      <c r="B24" s="21">
        <v>39.5</v>
      </c>
      <c r="C24" s="19" t="s">
        <v>10</v>
      </c>
      <c r="D24" s="24" t="s">
        <v>240</v>
      </c>
    </row>
    <row r="25" spans="1:4" ht="16.5" thickTop="1" thickBot="1" x14ac:dyDescent="0.3">
      <c r="A25" s="20" t="s">
        <v>29</v>
      </c>
      <c r="B25" s="22">
        <v>46</v>
      </c>
      <c r="C25" s="19" t="s">
        <v>10</v>
      </c>
      <c r="D25" s="24" t="s">
        <v>242</v>
      </c>
    </row>
    <row r="26" spans="1:4" ht="16.5" thickTop="1" thickBot="1" x14ac:dyDescent="0.3">
      <c r="A26" s="17" t="s">
        <v>30</v>
      </c>
      <c r="B26" s="21">
        <v>42.8</v>
      </c>
      <c r="C26" s="19" t="s">
        <v>10</v>
      </c>
      <c r="D26" s="24" t="s">
        <v>243</v>
      </c>
    </row>
    <row r="27" spans="1:4" ht="16.5" thickTop="1" thickBot="1" x14ac:dyDescent="0.3">
      <c r="A27" s="17" t="s">
        <v>31</v>
      </c>
      <c r="B27" s="24">
        <v>28.9</v>
      </c>
      <c r="C27" s="19" t="s">
        <v>10</v>
      </c>
      <c r="D27" s="24" t="s">
        <v>244</v>
      </c>
    </row>
    <row r="28" spans="1:4" ht="16.5" thickTop="1" thickBot="1" x14ac:dyDescent="0.3">
      <c r="A28" s="16" t="s">
        <v>32</v>
      </c>
      <c r="B28" s="25">
        <v>2</v>
      </c>
      <c r="C28" s="19" t="s">
        <v>8</v>
      </c>
      <c r="D28" s="24" t="s">
        <v>245</v>
      </c>
    </row>
    <row r="29" spans="1:4" ht="15.75" thickTop="1" x14ac:dyDescent="0.25">
      <c r="A29" s="18"/>
      <c r="B29" s="18"/>
      <c r="C29" s="18"/>
      <c r="D29" s="18"/>
    </row>
    <row r="30" spans="1:4" x14ac:dyDescent="0.25">
      <c r="A30" s="18"/>
      <c r="B30" s="18"/>
      <c r="C30" s="18"/>
      <c r="D30" s="18"/>
    </row>
    <row r="31" spans="1:4" x14ac:dyDescent="0.25">
      <c r="A31" s="18"/>
      <c r="B31" s="18"/>
      <c r="C31" s="18"/>
      <c r="D31" s="18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">
    <tabColor theme="3"/>
  </sheetPr>
  <dimension ref="A1:R37"/>
  <sheetViews>
    <sheetView topLeftCell="A13" workbookViewId="0">
      <selection activeCell="B30" sqref="B30"/>
    </sheetView>
  </sheetViews>
  <sheetFormatPr defaultRowHeight="15" x14ac:dyDescent="0.25"/>
  <cols>
    <col min="1" max="1" width="75.28515625" customWidth="1"/>
    <col min="2" max="2" width="10.140625" customWidth="1"/>
    <col min="3" max="3" width="15.140625" customWidth="1"/>
    <col min="4" max="4" width="13.140625" customWidth="1"/>
    <col min="5" max="5" width="10.42578125" customWidth="1"/>
    <col min="7" max="7" width="9.140625" customWidth="1"/>
    <col min="9" max="9" width="6.5703125" customWidth="1"/>
    <col min="11" max="11" width="7.7109375" customWidth="1"/>
  </cols>
  <sheetData>
    <row r="1" spans="1:16" x14ac:dyDescent="0.25">
      <c r="A1" s="78" t="s">
        <v>222</v>
      </c>
    </row>
    <row r="2" spans="1:16" ht="15.75" x14ac:dyDescent="0.25">
      <c r="A2" s="82" t="s">
        <v>33</v>
      </c>
      <c r="E2" s="4" t="s">
        <v>85</v>
      </c>
      <c r="F2" s="3">
        <f xml:space="preserve"> -0.001*(0.5*('Исходные данные'!I8+'Исходные данные'!I9))+1.3</f>
        <v>0.70000000000000007</v>
      </c>
      <c r="H2" s="83" t="s">
        <v>56</v>
      </c>
      <c r="I2" s="84"/>
      <c r="J2" s="84"/>
      <c r="K2" s="84"/>
      <c r="L2" s="84"/>
      <c r="M2" s="84"/>
      <c r="N2" s="84"/>
      <c r="O2" s="84"/>
    </row>
    <row r="3" spans="1:16" x14ac:dyDescent="0.25">
      <c r="A3" s="58" t="s">
        <v>39</v>
      </c>
      <c r="B3" s="56" t="s">
        <v>41</v>
      </c>
      <c r="C3" s="81" t="s">
        <v>40</v>
      </c>
      <c r="D3" s="4" t="s">
        <v>216</v>
      </c>
      <c r="I3" s="3" t="s">
        <v>57</v>
      </c>
      <c r="J3" s="3">
        <f>0.01*(2*C12+3.5*C13+5*C14+6.5*C15+8*C16)</f>
        <v>2.0738792954313121</v>
      </c>
      <c r="K3" s="3" t="s">
        <v>60</v>
      </c>
    </row>
    <row r="4" spans="1:16" x14ac:dyDescent="0.25">
      <c r="A4" s="4" t="s">
        <v>34</v>
      </c>
      <c r="B4" s="3">
        <f>1+0.5*(0.155*2/('Исходные данные'!B22/2)-1)</f>
        <v>3.763157894736842</v>
      </c>
      <c r="C4" s="3"/>
      <c r="D4" s="4" t="s">
        <v>217</v>
      </c>
      <c r="I4" s="3" t="s">
        <v>58</v>
      </c>
      <c r="J4" s="3">
        <f>4.76*J3</f>
        <v>9.8716654462530453</v>
      </c>
      <c r="K4" s="3" t="s">
        <v>60</v>
      </c>
    </row>
    <row r="5" spans="1:16" x14ac:dyDescent="0.25">
      <c r="A5" s="3" t="s">
        <v>35</v>
      </c>
      <c r="B5" s="3">
        <f>(513+B4*((6.7851*('Расчет горения топлива'!J9^0.6906))-(6.7851*('Расчет горения топлива'!J10^0.6906))))/F2</f>
        <v>711.45404613540325</v>
      </c>
      <c r="C5" s="4" t="s">
        <v>82</v>
      </c>
      <c r="D5" s="4" t="s">
        <v>218</v>
      </c>
      <c r="I5" s="3" t="s">
        <v>59</v>
      </c>
      <c r="J5" s="3">
        <f>B22*J4</f>
        <v>11.352415263191002</v>
      </c>
      <c r="K5" s="3" t="s">
        <v>60</v>
      </c>
    </row>
    <row r="6" spans="1:16" x14ac:dyDescent="0.25">
      <c r="A6" s="4" t="s">
        <v>36</v>
      </c>
      <c r="B6" s="3">
        <f>B5/1.4</f>
        <v>508.18146152528806</v>
      </c>
      <c r="C6" s="4" t="s">
        <v>7</v>
      </c>
      <c r="D6" s="4" t="s">
        <v>219</v>
      </c>
    </row>
    <row r="7" spans="1:16" ht="15.75" x14ac:dyDescent="0.25">
      <c r="A7" s="4" t="s">
        <v>37</v>
      </c>
      <c r="B7" s="3">
        <f>'Расчет горения топлива'!B27*0.9</f>
        <v>2969.4806275696192</v>
      </c>
      <c r="C7" s="4" t="s">
        <v>82</v>
      </c>
      <c r="D7" s="4" t="s">
        <v>220</v>
      </c>
      <c r="H7" s="83" t="s">
        <v>66</v>
      </c>
      <c r="I7" s="84"/>
      <c r="J7" s="84"/>
      <c r="K7" s="84"/>
      <c r="L7" s="84"/>
      <c r="M7" s="84"/>
      <c r="N7" s="84"/>
      <c r="O7" s="84"/>
      <c r="P7" s="84"/>
    </row>
    <row r="8" spans="1:16" x14ac:dyDescent="0.25">
      <c r="A8" s="4" t="s">
        <v>38</v>
      </c>
      <c r="B8" s="3">
        <f>(B7-B5)/(B5-25)</f>
        <v>3.2894067623993868</v>
      </c>
      <c r="C8" s="4" t="s">
        <v>60</v>
      </c>
      <c r="D8" s="4" t="s">
        <v>221</v>
      </c>
      <c r="J8" s="14" t="s">
        <v>65</v>
      </c>
      <c r="N8" s="14" t="s">
        <v>68</v>
      </c>
    </row>
    <row r="9" spans="1:16" x14ac:dyDescent="0.25">
      <c r="I9" s="3" t="s">
        <v>61</v>
      </c>
      <c r="J9" s="3">
        <f>0.01*(C17+C12+2*C13+3*C14+4*C15+5*C16)</f>
        <v>1.0674089643783911</v>
      </c>
      <c r="K9" s="3" t="s">
        <v>60</v>
      </c>
      <c r="M9" s="3" t="s">
        <v>69</v>
      </c>
      <c r="N9" s="3">
        <f>J9</f>
        <v>1.0674089643783911</v>
      </c>
      <c r="O9" s="3" t="s">
        <v>60</v>
      </c>
    </row>
    <row r="10" spans="1:16" ht="15.75" x14ac:dyDescent="0.25">
      <c r="A10" s="7"/>
      <c r="I10" s="3" t="s">
        <v>62</v>
      </c>
      <c r="J10" s="3">
        <f>0.01*(C19+2*C12+3*C13+4*C14+5*C15+6*C16)</f>
        <v>2.0339910041676497</v>
      </c>
      <c r="K10" s="3" t="s">
        <v>60</v>
      </c>
      <c r="M10" s="3" t="s">
        <v>70</v>
      </c>
      <c r="N10" s="3">
        <f>J10+(B22-1)*0.00124*B21*J4</f>
        <v>2.0596968209896924</v>
      </c>
      <c r="O10" s="3" t="s">
        <v>60</v>
      </c>
    </row>
    <row r="11" spans="1:16" ht="15.75" x14ac:dyDescent="0.25">
      <c r="A11" s="57" t="s">
        <v>42</v>
      </c>
      <c r="B11" s="3" t="s">
        <v>43</v>
      </c>
      <c r="C11" s="4" t="s">
        <v>44</v>
      </c>
      <c r="D11" s="3" t="s">
        <v>40</v>
      </c>
      <c r="I11" s="3" t="s">
        <v>63</v>
      </c>
      <c r="J11" s="3">
        <f>0.01*C18+3.76*J3</f>
        <v>7.8272725863017989</v>
      </c>
      <c r="K11" s="3" t="s">
        <v>60</v>
      </c>
      <c r="M11" s="3" t="s">
        <v>71</v>
      </c>
      <c r="N11" s="3">
        <f>0.01*C18+B22*3.76*J3</f>
        <v>8.9969405089250589</v>
      </c>
      <c r="O11" s="3" t="s">
        <v>60</v>
      </c>
    </row>
    <row r="12" spans="1:16" x14ac:dyDescent="0.25">
      <c r="A12" s="5" t="s">
        <v>45</v>
      </c>
      <c r="B12" s="3">
        <v>90</v>
      </c>
      <c r="C12" s="3">
        <f>B12*((100-C19)/100)</f>
        <v>88.459306440198148</v>
      </c>
      <c r="D12" s="3" t="s">
        <v>6</v>
      </c>
      <c r="I12" s="3" t="s">
        <v>64</v>
      </c>
      <c r="J12" s="3">
        <f>SUM(J9:J11)</f>
        <v>10.928672554847839</v>
      </c>
      <c r="K12" s="3" t="s">
        <v>60</v>
      </c>
      <c r="M12" s="3" t="s">
        <v>67</v>
      </c>
      <c r="N12" s="3">
        <f>(B22-1)*J3</f>
        <v>0.31108189431469663</v>
      </c>
      <c r="O12" s="3" t="s">
        <v>60</v>
      </c>
    </row>
    <row r="13" spans="1:16" x14ac:dyDescent="0.25">
      <c r="A13" s="5" t="s">
        <v>50</v>
      </c>
      <c r="B13" s="3">
        <v>4.5</v>
      </c>
      <c r="C13" s="3">
        <f>B13*((100-C19)/100)</f>
        <v>4.4229653220099081</v>
      </c>
      <c r="D13" s="3" t="s">
        <v>6</v>
      </c>
      <c r="G13" s="11"/>
      <c r="M13" s="3" t="s">
        <v>72</v>
      </c>
      <c r="N13" s="3">
        <f>SUM(N9:N12)</f>
        <v>12.435128188607839</v>
      </c>
      <c r="O13" s="3" t="s">
        <v>60</v>
      </c>
    </row>
    <row r="14" spans="1:16" x14ac:dyDescent="0.25">
      <c r="A14" s="5" t="s">
        <v>46</v>
      </c>
      <c r="B14" s="3">
        <v>0.9</v>
      </c>
      <c r="C14" s="3">
        <f>B14*((100-C19)/100)</f>
        <v>0.8845930644019816</v>
      </c>
      <c r="D14" s="3" t="s">
        <v>6</v>
      </c>
    </row>
    <row r="15" spans="1:16" x14ac:dyDescent="0.25">
      <c r="A15" s="5" t="s">
        <v>47</v>
      </c>
      <c r="B15" s="3">
        <v>0.3</v>
      </c>
      <c r="C15" s="3">
        <f>B15*((100-C19)/100)</f>
        <v>0.29486435480066048</v>
      </c>
      <c r="D15" s="3" t="s">
        <v>6</v>
      </c>
      <c r="I15" s="14" t="s">
        <v>73</v>
      </c>
      <c r="K15" s="1"/>
      <c r="M15" s="14" t="s">
        <v>74</v>
      </c>
      <c r="O15" s="1"/>
    </row>
    <row r="16" spans="1:16" x14ac:dyDescent="0.25">
      <c r="A16" s="5" t="s">
        <v>48</v>
      </c>
      <c r="B16" s="3">
        <v>1.1000000000000001</v>
      </c>
      <c r="C16" s="3">
        <f>B16*((100-C19)/100)</f>
        <v>1.0811693009357553</v>
      </c>
      <c r="D16" s="3" t="s">
        <v>6</v>
      </c>
      <c r="I16" s="3" t="s">
        <v>75</v>
      </c>
      <c r="J16" s="3">
        <f>J9*100/J12</f>
        <v>9.7670504722451419</v>
      </c>
      <c r="K16" s="10"/>
      <c r="M16" s="3" t="s">
        <v>69</v>
      </c>
      <c r="N16" s="3">
        <f>N9*100/N13</f>
        <v>8.5838195488509204</v>
      </c>
      <c r="O16" s="10"/>
    </row>
    <row r="17" spans="1:16" x14ac:dyDescent="0.25">
      <c r="A17" s="5" t="s">
        <v>49</v>
      </c>
      <c r="B17" s="3">
        <v>0.2</v>
      </c>
      <c r="C17" s="3">
        <f>B17*((100-C19)/100)</f>
        <v>0.19657623653377368</v>
      </c>
      <c r="D17" s="3" t="s">
        <v>6</v>
      </c>
      <c r="I17" s="3" t="s">
        <v>62</v>
      </c>
      <c r="J17" s="3">
        <f>J10*100/J12</f>
        <v>18.611510171611769</v>
      </c>
      <c r="K17" s="10"/>
      <c r="L17" s="12"/>
      <c r="M17" s="3" t="s">
        <v>70</v>
      </c>
      <c r="N17" s="3">
        <f>N10*100/N13</f>
        <v>16.563535089864509</v>
      </c>
      <c r="O17" s="10"/>
    </row>
    <row r="18" spans="1:16" x14ac:dyDescent="0.25">
      <c r="A18" s="5" t="s">
        <v>51</v>
      </c>
      <c r="B18" s="3">
        <v>3</v>
      </c>
      <c r="C18" s="3">
        <f>B18*((100-C19)/100)</f>
        <v>2.9486435480066051</v>
      </c>
      <c r="D18" s="6" t="s">
        <v>6</v>
      </c>
      <c r="I18" s="3" t="s">
        <v>63</v>
      </c>
      <c r="J18" s="3">
        <f>J11*100/J12</f>
        <v>71.621439356143085</v>
      </c>
      <c r="K18" s="10"/>
      <c r="M18" s="3" t="s">
        <v>71</v>
      </c>
      <c r="N18" s="3">
        <f>N11*100/N13</f>
        <v>72.351007343594588</v>
      </c>
      <c r="O18" s="10"/>
    </row>
    <row r="19" spans="1:16" x14ac:dyDescent="0.25">
      <c r="A19" s="5" t="s">
        <v>52</v>
      </c>
      <c r="B19" s="3"/>
      <c r="C19" s="3">
        <f>(0.1244*14)/(1+0.00124*14)</f>
        <v>1.7118817331131555</v>
      </c>
      <c r="D19" s="3" t="s">
        <v>6</v>
      </c>
      <c r="M19" s="3" t="s">
        <v>67</v>
      </c>
      <c r="N19" s="3">
        <f>N12*100/N13</f>
        <v>2.5016380176899764</v>
      </c>
      <c r="O19" s="10"/>
    </row>
    <row r="20" spans="1:16" x14ac:dyDescent="0.25">
      <c r="A20" s="5" t="s">
        <v>53</v>
      </c>
      <c r="B20" s="3">
        <f>SUM(B12:B18)</f>
        <v>100</v>
      </c>
      <c r="C20" s="3">
        <f>SUM(C12:C19)</f>
        <v>100</v>
      </c>
      <c r="D20" s="3" t="s">
        <v>6</v>
      </c>
      <c r="L20" s="1"/>
      <c r="M20" s="9"/>
      <c r="N20" s="9"/>
      <c r="O20" s="1"/>
      <c r="P20" s="1"/>
    </row>
    <row r="21" spans="1:16" x14ac:dyDescent="0.25">
      <c r="A21" s="5" t="s">
        <v>54</v>
      </c>
      <c r="B21" s="3">
        <v>14</v>
      </c>
      <c r="C21" s="8"/>
      <c r="D21" s="9"/>
      <c r="M21" s="1"/>
    </row>
    <row r="22" spans="1:16" x14ac:dyDescent="0.25">
      <c r="A22" s="5" t="s">
        <v>55</v>
      </c>
      <c r="B22" s="3">
        <v>1.1499999999999999</v>
      </c>
      <c r="C22" s="10"/>
      <c r="D22" s="1"/>
    </row>
    <row r="23" spans="1:16" x14ac:dyDescent="0.25">
      <c r="A23" s="9"/>
    </row>
    <row r="24" spans="1:16" ht="15.75" x14ac:dyDescent="0.25">
      <c r="A24" s="57" t="s">
        <v>80</v>
      </c>
      <c r="B24" s="3" t="s">
        <v>41</v>
      </c>
      <c r="C24" s="3" t="s">
        <v>81</v>
      </c>
      <c r="G24" s="3" t="s">
        <v>86</v>
      </c>
      <c r="H24" s="4" t="s">
        <v>85</v>
      </c>
    </row>
    <row r="25" spans="1:16" x14ac:dyDescent="0.25">
      <c r="A25" s="5" t="s">
        <v>76</v>
      </c>
      <c r="B25" s="3">
        <f>358*C12+636*C13+913*C14+1185*C15+1465*C16</f>
        <v>37222.398404497915</v>
      </c>
      <c r="C25" s="4" t="s">
        <v>82</v>
      </c>
      <c r="G25" s="4">
        <v>400</v>
      </c>
      <c r="H25" s="4">
        <v>0.9</v>
      </c>
    </row>
    <row r="26" spans="1:16" ht="21" x14ac:dyDescent="0.35">
      <c r="A26" s="5" t="s">
        <v>77</v>
      </c>
      <c r="B26" s="3">
        <f>(B25/N13)+((1.57*20)/N13)+((1.327*300*J5)/N13)</f>
        <v>3359.2894489856421</v>
      </c>
      <c r="C26" s="4" t="s">
        <v>82</v>
      </c>
      <c r="G26" s="4">
        <v>500</v>
      </c>
      <c r="H26" s="4">
        <v>0.8</v>
      </c>
    </row>
    <row r="27" spans="1:16" ht="21" x14ac:dyDescent="0.35">
      <c r="A27" s="5" t="s">
        <v>78</v>
      </c>
      <c r="B27" s="3">
        <f>B26-((0.02*B25)/N13)</f>
        <v>3299.422919521799</v>
      </c>
      <c r="C27" s="4" t="s">
        <v>82</v>
      </c>
      <c r="G27" s="4">
        <v>600</v>
      </c>
      <c r="H27" s="4">
        <v>0.7</v>
      </c>
    </row>
    <row r="28" spans="1:16" x14ac:dyDescent="0.25">
      <c r="A28" s="13" t="s">
        <v>79</v>
      </c>
      <c r="B28" s="3">
        <f>((J5-J4)/N13)*100</f>
        <v>11.907796964204294</v>
      </c>
      <c r="C28" s="4" t="s">
        <v>6</v>
      </c>
      <c r="G28" s="4">
        <v>700</v>
      </c>
      <c r="H28" s="4">
        <v>0.6</v>
      </c>
    </row>
    <row r="29" spans="1:16" ht="21" x14ac:dyDescent="0.35">
      <c r="A29" s="13" t="s">
        <v>83</v>
      </c>
      <c r="B29" s="3">
        <f>6.7851*(B26)^0.6906</f>
        <v>1848.343672371532</v>
      </c>
      <c r="C29" s="4" t="s">
        <v>7</v>
      </c>
      <c r="G29" s="5">
        <v>800</v>
      </c>
      <c r="H29" s="5">
        <v>0.5</v>
      </c>
    </row>
    <row r="30" spans="1:16" ht="21" x14ac:dyDescent="0.35">
      <c r="A30" s="13" t="s">
        <v>84</v>
      </c>
      <c r="B30" s="3">
        <f>6.7851*(B27)^0.6906</f>
        <v>1825.532320949749</v>
      </c>
      <c r="C30" s="4" t="s">
        <v>7</v>
      </c>
    </row>
    <row r="36" spans="7:18" x14ac:dyDescent="0.25">
      <c r="G36" s="3" t="s">
        <v>145</v>
      </c>
      <c r="H36" s="60">
        <v>200</v>
      </c>
      <c r="I36" s="60">
        <v>400</v>
      </c>
      <c r="J36" s="60">
        <v>600</v>
      </c>
      <c r="K36" s="60">
        <v>800</v>
      </c>
      <c r="L36" s="60">
        <v>1000</v>
      </c>
      <c r="M36" s="60">
        <v>1400</v>
      </c>
      <c r="N36" s="60">
        <v>1600</v>
      </c>
      <c r="O36" s="60">
        <v>1800</v>
      </c>
      <c r="P36" s="60">
        <v>2000</v>
      </c>
      <c r="Q36" s="60">
        <v>2200</v>
      </c>
      <c r="R36" s="60">
        <v>2400</v>
      </c>
    </row>
    <row r="37" spans="7:18" x14ac:dyDescent="0.25">
      <c r="G37" s="3" t="s">
        <v>146</v>
      </c>
      <c r="H37" s="60">
        <v>100</v>
      </c>
      <c r="I37" s="60">
        <v>500</v>
      </c>
      <c r="J37" s="60">
        <v>800</v>
      </c>
      <c r="K37" s="60">
        <v>1100</v>
      </c>
      <c r="L37" s="60">
        <v>1400</v>
      </c>
      <c r="M37" s="60">
        <v>2300</v>
      </c>
      <c r="N37" s="60">
        <v>2700</v>
      </c>
      <c r="O37" s="60">
        <v>3000</v>
      </c>
      <c r="P37" s="60">
        <v>3500</v>
      </c>
      <c r="Q37" s="60">
        <v>3900</v>
      </c>
      <c r="R37" s="60">
        <v>4500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N62"/>
  <sheetViews>
    <sheetView tabSelected="1" topLeftCell="A19" workbookViewId="0">
      <selection activeCell="E13" sqref="E13"/>
    </sheetView>
  </sheetViews>
  <sheetFormatPr defaultRowHeight="15" x14ac:dyDescent="0.25"/>
  <cols>
    <col min="1" max="1" width="48.42578125" customWidth="1"/>
    <col min="2" max="2" width="12" bestFit="1" customWidth="1"/>
    <col min="3" max="3" width="10.7109375" customWidth="1"/>
    <col min="4" max="4" width="14" customWidth="1"/>
    <col min="6" max="6" width="7.28515625" customWidth="1"/>
    <col min="7" max="7" width="2.85546875" customWidth="1"/>
    <col min="8" max="8" width="9.140625" hidden="1" customWidth="1"/>
    <col min="9" max="9" width="50.140625" customWidth="1"/>
    <col min="10" max="10" width="11.5703125" customWidth="1"/>
  </cols>
  <sheetData>
    <row r="1" spans="1:14" x14ac:dyDescent="0.25">
      <c r="A1" t="s">
        <v>92</v>
      </c>
    </row>
    <row r="2" spans="1:14" ht="15.75" thickBot="1" x14ac:dyDescent="0.3">
      <c r="B2" s="48" t="s">
        <v>94</v>
      </c>
      <c r="C2" s="48"/>
      <c r="J2" s="48" t="s">
        <v>128</v>
      </c>
      <c r="K2" s="48"/>
      <c r="L2" s="74"/>
      <c r="M2" s="54"/>
    </row>
    <row r="3" spans="1:14" ht="15.75" thickBot="1" x14ac:dyDescent="0.3">
      <c r="A3" s="44" t="s">
        <v>93</v>
      </c>
      <c r="B3" s="42"/>
      <c r="C3" s="42"/>
      <c r="D3" s="43"/>
      <c r="I3" s="4" t="s">
        <v>129</v>
      </c>
      <c r="J3" s="4">
        <f>('Исходные данные'!B9+'Исходные данные'!B13-1)*'Расчет горения топлива'!J4*100/('Расчет горения топлива'!J5+'Исходные данные'!B13*'Расчет горения топлива'!J4)</f>
        <v>31.03448275862069</v>
      </c>
      <c r="K3" s="4" t="s">
        <v>6</v>
      </c>
      <c r="L3" s="4" t="s">
        <v>200</v>
      </c>
      <c r="M3" s="10"/>
      <c r="N3" s="1"/>
    </row>
    <row r="4" spans="1:14" x14ac:dyDescent="0.25">
      <c r="A4" s="39" t="s">
        <v>95</v>
      </c>
      <c r="B4" s="49">
        <f>(('Исходные данные'!H8+('Исходные данные'!I8-'Исходные данные'!H8)/0.8)*'Исходные данные'!B18/('Исходные данные'!B18+'Исходные данные'!B19))+0.5*('Исходные данные'!I8+'Исходные данные'!J8)*'Исходные данные'!B19/('Исходные данные'!B19+'Исходные данные'!B18)</f>
        <v>793.75</v>
      </c>
      <c r="C4" s="39" t="s">
        <v>99</v>
      </c>
      <c r="D4" s="39" t="s">
        <v>141</v>
      </c>
      <c r="I4" s="4" t="s">
        <v>130</v>
      </c>
      <c r="J4" s="4">
        <f>('Расчет горения топлива'!B7-'Расчет горения топлива'!B5)/('Расчет горения топлива'!B5-('Исходные данные'!B12/6.7851)^(1/0.6906))</f>
        <v>4.1270731863563244</v>
      </c>
      <c r="K4" s="4" t="s">
        <v>60</v>
      </c>
      <c r="L4" s="4" t="s">
        <v>201</v>
      </c>
      <c r="M4" s="1"/>
      <c r="N4" s="1"/>
    </row>
    <row r="5" spans="1:14" x14ac:dyDescent="0.25">
      <c r="A5" s="4" t="s">
        <v>96</v>
      </c>
      <c r="B5" s="50">
        <f>(('Исходные данные'!H9+('Исходные данные'!I9-'Исходные данные'!H9)/0.8)*'Исходные данные'!B18/('Исходные данные'!B18+'Исходные данные'!B19))+0.5*('Исходные данные'!I9+'Исходные данные'!J9)*'Исходные данные'!B19/('Исходные данные'!B19+'Исходные данные'!B18)</f>
        <v>425</v>
      </c>
      <c r="C5" s="4" t="s">
        <v>99</v>
      </c>
      <c r="D5" s="4" t="s">
        <v>142</v>
      </c>
      <c r="I5" s="4" t="s">
        <v>133</v>
      </c>
      <c r="J5" s="4">
        <f>(B16+'Расчет горения топлива'!B8*(('Исходные данные'!J10/6.7851)^(1/0.6906)-(('Исходные данные'!B12/6.7851)^(1/0.6906))))*'Расчет горения топлива'!J5</f>
        <v>8560.578874343415</v>
      </c>
      <c r="K5" s="4" t="s">
        <v>100</v>
      </c>
      <c r="L5" s="4" t="s">
        <v>202</v>
      </c>
      <c r="M5" s="1"/>
    </row>
    <row r="6" spans="1:14" x14ac:dyDescent="0.25">
      <c r="A6" s="4" t="s">
        <v>97</v>
      </c>
      <c r="B6" s="50">
        <f>0.5*(B4+B5)</f>
        <v>609.375</v>
      </c>
      <c r="C6" s="4" t="s">
        <v>99</v>
      </c>
      <c r="D6" s="4" t="s">
        <v>143</v>
      </c>
      <c r="I6" s="4" t="s">
        <v>101</v>
      </c>
      <c r="J6" s="4">
        <f>J5*'Исходные данные'!B17</f>
        <v>246544671.58109036</v>
      </c>
      <c r="K6" s="4" t="s">
        <v>100</v>
      </c>
      <c r="L6" s="4" t="s">
        <v>131</v>
      </c>
      <c r="M6" s="1"/>
    </row>
    <row r="7" spans="1:14" x14ac:dyDescent="0.25">
      <c r="A7" s="4" t="s">
        <v>98</v>
      </c>
      <c r="B7" s="50">
        <f>('Исходные данные'!H10+('Исходные данные'!I10-100)/(0.7+1))*('Исходные данные'!B18/'Исходные данные'!B17)+0.5*('Исходные данные'!I10+'Исходные данные'!J10)*'Исходные данные'!B18/'Исходные данные'!B17</f>
        <v>287.64705882352939</v>
      </c>
      <c r="C7" s="4" t="s">
        <v>99</v>
      </c>
      <c r="D7" s="4" t="s">
        <v>144</v>
      </c>
      <c r="I7" s="4" t="s">
        <v>198</v>
      </c>
      <c r="J7">
        <f>B59*J8</f>
        <v>32876396.520312175</v>
      </c>
      <c r="K7" s="4" t="s">
        <v>100</v>
      </c>
      <c r="L7" s="4" t="s">
        <v>203</v>
      </c>
      <c r="M7" s="1"/>
    </row>
    <row r="8" spans="1:14" x14ac:dyDescent="0.25">
      <c r="A8" s="4" t="s">
        <v>147</v>
      </c>
      <c r="B8" s="50">
        <f>'Исходные данные'!B6/(1-0.01*'Исходные данные'!B6)</f>
        <v>8.695652173913043</v>
      </c>
      <c r="C8" s="4" t="s">
        <v>6</v>
      </c>
      <c r="D8" s="4" t="s">
        <v>149</v>
      </c>
      <c r="I8" s="4" t="s">
        <v>197</v>
      </c>
      <c r="J8" s="4">
        <f>(B11+B36+B55)/(B59-B18-B21-B39)</f>
        <v>3.066812861560652E-2</v>
      </c>
      <c r="K8" s="4" t="s">
        <v>193</v>
      </c>
      <c r="L8" s="4" t="s">
        <v>205</v>
      </c>
      <c r="M8" s="1"/>
    </row>
    <row r="9" spans="1:14" x14ac:dyDescent="0.25">
      <c r="A9" s="4" t="s">
        <v>148</v>
      </c>
      <c r="B9" s="50">
        <f>'Исходные данные'!B7/(1-0.01*'Исходные данные'!B7)</f>
        <v>2.0408163265306123</v>
      </c>
      <c r="C9" s="4" t="s">
        <v>6</v>
      </c>
      <c r="D9" s="4" t="s">
        <v>150</v>
      </c>
      <c r="I9" s="4" t="s">
        <v>153</v>
      </c>
      <c r="J9" s="4">
        <f>B11</f>
        <v>4530545.0441045975</v>
      </c>
      <c r="K9" s="4" t="s">
        <v>100</v>
      </c>
      <c r="L9" s="4" t="s">
        <v>206</v>
      </c>
      <c r="M9" s="1"/>
    </row>
    <row r="10" spans="1:14" x14ac:dyDescent="0.25">
      <c r="A10" s="4" t="s">
        <v>151</v>
      </c>
      <c r="B10" s="50">
        <f>0.5*('Исходные данные'!J9+'Исходные данные'!J10)-100</f>
        <v>275</v>
      </c>
      <c r="C10" s="4" t="s">
        <v>99</v>
      </c>
      <c r="D10" s="4" t="s">
        <v>152</v>
      </c>
      <c r="I10" s="4" t="s">
        <v>101</v>
      </c>
      <c r="J10" s="4">
        <f>J8*B18</f>
        <v>8267902.0441401713</v>
      </c>
      <c r="K10" s="4" t="s">
        <v>100</v>
      </c>
      <c r="L10" s="4" t="s">
        <v>207</v>
      </c>
      <c r="M10" s="1"/>
    </row>
    <row r="11" spans="1:14" x14ac:dyDescent="0.25">
      <c r="A11" s="64" t="s">
        <v>153</v>
      </c>
      <c r="B11" s="68">
        <f>((0.84+0.01*B9*4.19)*(B10-'Исходные данные'!B8)+0.01*(B8-B9)*(2675-83.8+2.09*('Тепловой баланс'!B7-100)))*'Исходные данные'!B5</f>
        <v>4530545.0441045975</v>
      </c>
      <c r="C11" s="64" t="s">
        <v>100</v>
      </c>
      <c r="D11" s="64" t="s">
        <v>134</v>
      </c>
      <c r="I11" s="4" t="s">
        <v>102</v>
      </c>
      <c r="J11" s="4">
        <f>J8*B21</f>
        <v>657527.78975068161</v>
      </c>
      <c r="K11" s="4" t="s">
        <v>100</v>
      </c>
      <c r="L11" s="4" t="s">
        <v>208</v>
      </c>
      <c r="M11" s="1"/>
    </row>
    <row r="12" spans="1:14" x14ac:dyDescent="0.25">
      <c r="I12" s="4" t="s">
        <v>109</v>
      </c>
      <c r="J12" s="4">
        <f>J8*B39</f>
        <v>6575277.8975068154</v>
      </c>
      <c r="K12" s="4" t="s">
        <v>100</v>
      </c>
      <c r="L12" s="4" t="s">
        <v>209</v>
      </c>
      <c r="M12" s="1"/>
    </row>
    <row r="13" spans="1:14" ht="15.75" thickBot="1" x14ac:dyDescent="0.3">
      <c r="I13" s="4" t="s">
        <v>168</v>
      </c>
      <c r="J13" s="4">
        <f>B36</f>
        <v>10937971.990034526</v>
      </c>
      <c r="K13" s="4" t="s">
        <v>100</v>
      </c>
      <c r="L13" s="4" t="s">
        <v>210</v>
      </c>
      <c r="M13" s="1"/>
    </row>
    <row r="14" spans="1:14" ht="15.75" thickBot="1" x14ac:dyDescent="0.3">
      <c r="A14" s="44" t="s">
        <v>101</v>
      </c>
      <c r="B14" s="42"/>
      <c r="C14" s="42"/>
      <c r="D14" s="43"/>
      <c r="I14" s="4" t="s">
        <v>115</v>
      </c>
      <c r="J14" s="4">
        <f>B55</f>
        <v>1907171.7547753882</v>
      </c>
      <c r="K14" s="4" t="s">
        <v>100</v>
      </c>
      <c r="L14" s="4" t="s">
        <v>211</v>
      </c>
      <c r="M14" s="1"/>
    </row>
    <row r="15" spans="1:14" x14ac:dyDescent="0.25">
      <c r="A15" s="41" t="s">
        <v>199</v>
      </c>
      <c r="B15" s="40">
        <f>(B17+1.3*(B16-25))*'Расчет горения топлива'!N13</f>
        <v>9360.8558802675052</v>
      </c>
      <c r="C15" s="51" t="s">
        <v>100</v>
      </c>
      <c r="D15" s="39" t="s">
        <v>132</v>
      </c>
      <c r="I15" s="4" t="s">
        <v>138</v>
      </c>
      <c r="J15" s="4">
        <f>SUM(J9,J10,J11,J12,J13,J14)</f>
        <v>32876396.520312183</v>
      </c>
      <c r="K15" s="4" t="s">
        <v>100</v>
      </c>
      <c r="L15" s="4" t="s">
        <v>212</v>
      </c>
      <c r="M15" s="1"/>
    </row>
    <row r="16" spans="1:14" x14ac:dyDescent="0.25">
      <c r="A16" s="5" t="s">
        <v>154</v>
      </c>
      <c r="B16" s="3">
        <f>('Исходные данные'!J10/6.7851)^(1/0.6906)</f>
        <v>301.81779877717702</v>
      </c>
      <c r="C16" s="50" t="s">
        <v>82</v>
      </c>
      <c r="D16" s="4" t="s">
        <v>247</v>
      </c>
      <c r="I16" s="5" t="s">
        <v>139</v>
      </c>
      <c r="J16" s="3">
        <f>J9/J15</f>
        <v>0.13780540216156198</v>
      </c>
      <c r="K16" s="4"/>
      <c r="L16" s="4" t="s">
        <v>213</v>
      </c>
      <c r="M16" s="1"/>
    </row>
    <row r="17" spans="1:13" x14ac:dyDescent="0.25">
      <c r="A17" s="5" t="s">
        <v>155</v>
      </c>
      <c r="B17" s="3">
        <f>1.0286*(B7^1.0501)</f>
        <v>392.91204317913196</v>
      </c>
      <c r="C17" s="50" t="s">
        <v>82</v>
      </c>
      <c r="D17" s="4" t="s">
        <v>248</v>
      </c>
      <c r="I17" s="5" t="s">
        <v>189</v>
      </c>
      <c r="J17" s="3">
        <f>J15/B62</f>
        <v>49402.265171189109</v>
      </c>
      <c r="K17" s="4" t="s">
        <v>190</v>
      </c>
      <c r="L17" s="4" t="s">
        <v>214</v>
      </c>
    </row>
    <row r="18" spans="1:13" x14ac:dyDescent="0.25">
      <c r="A18" s="64" t="s">
        <v>156</v>
      </c>
      <c r="B18" s="69">
        <f>B15*'Исходные данные'!B17</f>
        <v>269592649.35170412</v>
      </c>
      <c r="C18" s="65" t="s">
        <v>100</v>
      </c>
      <c r="D18" s="64" t="s">
        <v>131</v>
      </c>
      <c r="I18" s="59"/>
      <c r="J18" s="9"/>
      <c r="K18" s="9"/>
      <c r="L18" s="9"/>
      <c r="M18" s="1"/>
    </row>
    <row r="19" spans="1:13" ht="15.75" thickBot="1" x14ac:dyDescent="0.3"/>
    <row r="20" spans="1:13" ht="15.75" thickBot="1" x14ac:dyDescent="0.3">
      <c r="A20" s="44" t="s">
        <v>102</v>
      </c>
      <c r="B20" s="42"/>
      <c r="C20" s="42"/>
      <c r="D20" s="43"/>
    </row>
    <row r="21" spans="1:13" x14ac:dyDescent="0.25">
      <c r="A21" s="66" t="s">
        <v>102</v>
      </c>
      <c r="B21" s="67">
        <f>0.02*'Расчет горения топлива'!B25*'Исходные данные'!B17</f>
        <v>21440101.480990797</v>
      </c>
      <c r="C21" s="66" t="s">
        <v>100</v>
      </c>
      <c r="D21" s="66" t="s">
        <v>103</v>
      </c>
      <c r="L21" s="1"/>
    </row>
    <row r="22" spans="1:13" ht="15.75" thickBot="1" x14ac:dyDescent="0.3">
      <c r="K22" s="11"/>
      <c r="L22" s="1"/>
    </row>
    <row r="23" spans="1:13" ht="15.75" thickBot="1" x14ac:dyDescent="0.3">
      <c r="A23" s="44" t="s">
        <v>104</v>
      </c>
      <c r="B23" s="45"/>
      <c r="C23" s="45"/>
      <c r="D23" s="43"/>
      <c r="L23" s="1"/>
      <c r="M23" s="1"/>
    </row>
    <row r="24" spans="1:13" x14ac:dyDescent="0.25">
      <c r="A24" s="39" t="s">
        <v>158</v>
      </c>
      <c r="B24" s="39">
        <f>0.515*(B10-'Исходные данные'!B11)*'Исходные данные'!B10</f>
        <v>262650.00000000006</v>
      </c>
      <c r="C24" s="51" t="s">
        <v>100</v>
      </c>
      <c r="D24" s="39" t="s">
        <v>157</v>
      </c>
      <c r="L24" s="1"/>
      <c r="M24" s="1"/>
    </row>
    <row r="25" spans="1:13" x14ac:dyDescent="0.25">
      <c r="A25" s="4" t="s">
        <v>160</v>
      </c>
      <c r="B25" s="4">
        <f>8.33*(-(8-0.06*'Исходные данные'!B11)+SQRT(((8-0.06*'Исходные данные'!B11)^2)+0.24*(700+8*'Исходные данные'!B11)))</f>
        <v>75.758461064740032</v>
      </c>
      <c r="C25" s="52" t="s">
        <v>111</v>
      </c>
      <c r="D25" s="4" t="s">
        <v>159</v>
      </c>
      <c r="L25" s="1"/>
      <c r="M25" s="1"/>
    </row>
    <row r="26" spans="1:13" x14ac:dyDescent="0.25">
      <c r="A26" s="4" t="s">
        <v>166</v>
      </c>
      <c r="B26" s="4">
        <f>0.41+0.00035*((B6+B25)/2)</f>
        <v>0.52989835568632948</v>
      </c>
      <c r="C26" s="52" t="s">
        <v>164</v>
      </c>
      <c r="D26" s="4" t="s">
        <v>165</v>
      </c>
      <c r="L26" s="1"/>
      <c r="M26" s="1"/>
    </row>
    <row r="27" spans="1:13" x14ac:dyDescent="0.25">
      <c r="A27" s="4" t="s">
        <v>167</v>
      </c>
      <c r="B27" s="4">
        <f>B26*(B6-B25)/(0.8*700)</f>
        <v>0.50493308312290086</v>
      </c>
      <c r="C27" s="52" t="s">
        <v>8</v>
      </c>
      <c r="D27" s="4" t="s">
        <v>161</v>
      </c>
      <c r="L27" s="1"/>
      <c r="M27" s="1"/>
    </row>
    <row r="28" spans="1:13" x14ac:dyDescent="0.25">
      <c r="A28" s="4" t="s">
        <v>163</v>
      </c>
      <c r="B28" s="4">
        <f>0.01*B26*(B6-B25)*0.5*('Исходные данные'!B24+'Исходные данные'!B25)*'Исходные данные'!B17/'Тепловой баланс'!B27</f>
        <v>6894720</v>
      </c>
      <c r="C28" s="52" t="s">
        <v>100</v>
      </c>
      <c r="D28" s="4" t="s">
        <v>162</v>
      </c>
      <c r="L28" s="1"/>
      <c r="M28" s="1"/>
    </row>
    <row r="29" spans="1:13" x14ac:dyDescent="0.25">
      <c r="A29" s="4" t="s">
        <v>105</v>
      </c>
      <c r="B29" s="4">
        <f>0.508+0.00035*0.5*(B5+295)</f>
        <v>0.63400000000000001</v>
      </c>
      <c r="C29" s="52" t="s">
        <v>164</v>
      </c>
      <c r="D29" s="4" t="s">
        <v>170</v>
      </c>
      <c r="I29" s="76" t="s">
        <v>246</v>
      </c>
    </row>
    <row r="30" spans="1:13" x14ac:dyDescent="0.25">
      <c r="A30" s="4" t="s">
        <v>106</v>
      </c>
      <c r="B30" s="4">
        <f>0.077+0.000279*0.5*(B25+295)</f>
        <v>0.12872080531853122</v>
      </c>
      <c r="C30" s="52" t="s">
        <v>164</v>
      </c>
      <c r="D30" s="4" t="s">
        <v>171</v>
      </c>
      <c r="I30" s="77"/>
      <c r="J30" s="4" t="s">
        <v>100</v>
      </c>
      <c r="K30" s="4" t="s">
        <v>6</v>
      </c>
      <c r="L30" s="10"/>
    </row>
    <row r="31" spans="1:13" x14ac:dyDescent="0.25">
      <c r="A31" s="4" t="s">
        <v>107</v>
      </c>
      <c r="B31" s="4">
        <f>1/('Исходные данные'!B14/'Тепловой баланс'!B29+'Исходные данные'!B16/'Тепловой баланс'!B30)</f>
        <v>1.2333884173762355</v>
      </c>
      <c r="C31" s="52" t="s">
        <v>174</v>
      </c>
      <c r="D31" s="4" t="s">
        <v>176</v>
      </c>
      <c r="I31" s="4" t="s">
        <v>134</v>
      </c>
      <c r="J31" s="3">
        <f>B11</f>
        <v>4530545.0441045975</v>
      </c>
      <c r="K31" s="4">
        <f>(J31/$J$37)*$K$37</f>
        <v>13.780540216156197</v>
      </c>
      <c r="L31" s="75"/>
      <c r="M31" s="1"/>
    </row>
    <row r="32" spans="1:13" x14ac:dyDescent="0.25">
      <c r="A32" s="4" t="s">
        <v>108</v>
      </c>
      <c r="B32" s="4">
        <f>0.0084/'Исходные данные'!B15</f>
        <v>0.21</v>
      </c>
      <c r="C32" s="52" t="s">
        <v>174</v>
      </c>
      <c r="D32" s="4" t="s">
        <v>175</v>
      </c>
      <c r="I32" s="4" t="s">
        <v>131</v>
      </c>
      <c r="J32" s="3">
        <f>B18*B58</f>
        <v>8267902.0441401713</v>
      </c>
      <c r="K32" s="4">
        <f t="shared" ref="K32:K36" si="0">(J32/$J$37)*$K$37</f>
        <v>25.148443622864729</v>
      </c>
      <c r="L32" s="75"/>
    </row>
    <row r="33" spans="1:12" x14ac:dyDescent="0.25">
      <c r="A33" s="4" t="s">
        <v>112</v>
      </c>
      <c r="B33" s="4">
        <f>0.01*B31*(B5-B25)*'Исходные данные'!B27*'Исходные данные'!B17</f>
        <v>3585222.3034925847</v>
      </c>
      <c r="C33" s="52" t="s">
        <v>100</v>
      </c>
      <c r="D33" s="4" t="s">
        <v>172</v>
      </c>
      <c r="I33" s="4" t="s">
        <v>103</v>
      </c>
      <c r="J33" s="3">
        <f>B21*B58</f>
        <v>657527.78975068161</v>
      </c>
      <c r="K33" s="4">
        <f t="shared" si="0"/>
        <v>1.9999995721685557</v>
      </c>
      <c r="L33" s="75"/>
    </row>
    <row r="34" spans="1:12" x14ac:dyDescent="0.25">
      <c r="A34" s="4" t="s">
        <v>113</v>
      </c>
      <c r="B34" s="4">
        <f>0.01*B32*(B5-B25)*'Исходные данные'!B21*'Исходные данные'!B17</f>
        <v>195379.68654194186</v>
      </c>
      <c r="C34" s="52" t="s">
        <v>100</v>
      </c>
      <c r="D34" s="4" t="s">
        <v>173</v>
      </c>
      <c r="I34" s="4" t="s">
        <v>135</v>
      </c>
      <c r="J34" s="3">
        <f>B39*B58</f>
        <v>6575277.8975068154</v>
      </c>
      <c r="K34" s="4">
        <f t="shared" si="0"/>
        <v>19.999995721685558</v>
      </c>
      <c r="L34" s="75"/>
    </row>
    <row r="35" spans="1:12" x14ac:dyDescent="0.25">
      <c r="A35" s="4" t="s">
        <v>114</v>
      </c>
      <c r="B35" s="4">
        <f>B28+B33+B34</f>
        <v>10675321.990034526</v>
      </c>
      <c r="C35" s="52" t="s">
        <v>100</v>
      </c>
      <c r="D35" s="4" t="s">
        <v>169</v>
      </c>
      <c r="I35" s="4" t="s">
        <v>136</v>
      </c>
      <c r="J35" s="3">
        <f>B36</f>
        <v>10937971.990034526</v>
      </c>
      <c r="K35" s="4">
        <f>(J35/$J$37)*$K$37</f>
        <v>33.269984389185311</v>
      </c>
      <c r="L35" s="75"/>
    </row>
    <row r="36" spans="1:12" x14ac:dyDescent="0.25">
      <c r="A36" s="64" t="s">
        <v>168</v>
      </c>
      <c r="B36" s="64">
        <f>B24+B35</f>
        <v>10937971.990034526</v>
      </c>
      <c r="C36" s="65" t="s">
        <v>100</v>
      </c>
      <c r="D36" s="64" t="s">
        <v>215</v>
      </c>
      <c r="I36" s="4" t="s">
        <v>137</v>
      </c>
      <c r="J36" s="3">
        <f>B55</f>
        <v>1907171.7547753882</v>
      </c>
      <c r="K36" s="4">
        <f t="shared" si="0"/>
        <v>5.8010364779396397</v>
      </c>
      <c r="L36" s="75"/>
    </row>
    <row r="37" spans="1:12" ht="15.75" thickBot="1" x14ac:dyDescent="0.3">
      <c r="I37" s="4" t="s">
        <v>138</v>
      </c>
      <c r="J37" s="3">
        <f>SUM(J31,J32,J33,J34,J35,J36)</f>
        <v>32876396.520312183</v>
      </c>
      <c r="K37" s="4">
        <v>100</v>
      </c>
      <c r="L37" s="75"/>
    </row>
    <row r="38" spans="1:12" ht="15.75" thickBot="1" x14ac:dyDescent="0.3">
      <c r="A38" s="53" t="s">
        <v>109</v>
      </c>
      <c r="B38" s="42"/>
      <c r="C38" s="42"/>
      <c r="D38" s="43"/>
    </row>
    <row r="39" spans="1:12" x14ac:dyDescent="0.25">
      <c r="A39" s="61" t="s">
        <v>109</v>
      </c>
      <c r="B39" s="62">
        <f>(1-0.8)*'Расчет горения топлива'!B25*'Исходные данные'!B17</f>
        <v>214401014.80990794</v>
      </c>
      <c r="C39" s="63" t="s">
        <v>100</v>
      </c>
      <c r="D39" s="61" t="s">
        <v>110</v>
      </c>
    </row>
    <row r="41" spans="1:12" x14ac:dyDescent="0.25">
      <c r="A41" s="4" t="s">
        <v>116</v>
      </c>
      <c r="B41" s="4">
        <f>0.5*(0.5*('Исходные данные'!B11+'Исходные данные'!H8)+'Исходные данные'!H9)</f>
        <v>242.5</v>
      </c>
      <c r="C41" s="4" t="s">
        <v>7</v>
      </c>
      <c r="D41" s="4" t="s">
        <v>177</v>
      </c>
    </row>
    <row r="42" spans="1:12" x14ac:dyDescent="0.25">
      <c r="A42" s="4" t="s">
        <v>117</v>
      </c>
      <c r="B42" s="4">
        <f>0.5*('Исходные данные'!I8+'Исходные данные'!I9)</f>
        <v>600</v>
      </c>
      <c r="C42" s="4" t="s">
        <v>7</v>
      </c>
      <c r="D42" s="4" t="s">
        <v>178</v>
      </c>
    </row>
    <row r="43" spans="1:12" x14ac:dyDescent="0.25">
      <c r="A43" s="4" t="s">
        <v>118</v>
      </c>
      <c r="B43" s="4">
        <f>0.5*('Исходные данные'!J8+'Исходные данные'!J9)</f>
        <v>525</v>
      </c>
      <c r="C43" s="4" t="s">
        <v>7</v>
      </c>
      <c r="D43" s="4" t="s">
        <v>179</v>
      </c>
    </row>
    <row r="44" spans="1:12" x14ac:dyDescent="0.25">
      <c r="A44" s="47" t="s">
        <v>119</v>
      </c>
      <c r="B44" s="47">
        <f>0.7*(B42-B41)</f>
        <v>250.24999999999997</v>
      </c>
      <c r="C44" s="47" t="s">
        <v>7</v>
      </c>
      <c r="D44" s="47" t="s">
        <v>180</v>
      </c>
    </row>
    <row r="45" spans="1:12" x14ac:dyDescent="0.25">
      <c r="A45" s="39" t="s">
        <v>120</v>
      </c>
      <c r="B45" s="40"/>
      <c r="C45" s="39"/>
      <c r="D45" s="39"/>
    </row>
    <row r="46" spans="1:12" x14ac:dyDescent="0.25">
      <c r="A46" s="47" t="s">
        <v>119</v>
      </c>
      <c r="B46" s="47">
        <f>0.5*(B42+B43)-B41</f>
        <v>320</v>
      </c>
      <c r="C46" s="47" t="s">
        <v>7</v>
      </c>
      <c r="D46" s="47" t="s">
        <v>181</v>
      </c>
    </row>
    <row r="47" spans="1:12" x14ac:dyDescent="0.25">
      <c r="A47" s="39" t="s">
        <v>122</v>
      </c>
      <c r="B47" s="40"/>
      <c r="C47" s="39"/>
      <c r="D47" s="39"/>
    </row>
    <row r="48" spans="1:12" x14ac:dyDescent="0.25">
      <c r="A48" s="47" t="s">
        <v>119</v>
      </c>
      <c r="B48" s="47">
        <f>('Исходные данные'!B18*'Тепловой баланс'!B44+'Исходные данные'!B19*'Тепловой баланс'!B46)/'Исходные данные'!B17</f>
        <v>285.125</v>
      </c>
      <c r="C48" s="47" t="s">
        <v>7</v>
      </c>
      <c r="D48" s="47" t="s">
        <v>182</v>
      </c>
    </row>
    <row r="49" spans="1:4" x14ac:dyDescent="0.25">
      <c r="A49" s="39" t="s">
        <v>121</v>
      </c>
      <c r="B49" s="40"/>
      <c r="C49" s="39"/>
      <c r="D49" s="39"/>
    </row>
    <row r="50" spans="1:4" x14ac:dyDescent="0.25">
      <c r="A50" s="4" t="s">
        <v>123</v>
      </c>
      <c r="B50" s="4">
        <f>0.8*(B43-B41)</f>
        <v>226</v>
      </c>
      <c r="C50" s="4" t="s">
        <v>7</v>
      </c>
      <c r="D50" s="4" t="s">
        <v>183</v>
      </c>
    </row>
    <row r="51" spans="1:4" x14ac:dyDescent="0.25">
      <c r="A51" s="4" t="s">
        <v>124</v>
      </c>
      <c r="B51" s="4">
        <f>B42-B41</f>
        <v>357.5</v>
      </c>
      <c r="C51" s="4" t="s">
        <v>7</v>
      </c>
      <c r="D51" s="4" t="s">
        <v>184</v>
      </c>
    </row>
    <row r="52" spans="1:4" x14ac:dyDescent="0.25">
      <c r="A52" s="4" t="s">
        <v>125</v>
      </c>
      <c r="B52" s="3">
        <f>0.41+0.00035*(B48+B41)</f>
        <v>0.59466874999999997</v>
      </c>
      <c r="C52" s="4" t="s">
        <v>164</v>
      </c>
      <c r="D52" s="4" t="s">
        <v>185</v>
      </c>
    </row>
    <row r="53" spans="1:4" x14ac:dyDescent="0.25">
      <c r="A53" s="4" t="s">
        <v>126</v>
      </c>
      <c r="B53" s="3">
        <f>('Исходные данные'!B18+'Исходные данные'!B19)*('Тепловой баланс'!B48/'Тепловой баланс'!B51)^2</f>
        <v>18319.389309990711</v>
      </c>
      <c r="C53" s="4" t="s">
        <v>9</v>
      </c>
      <c r="D53" s="4" t="s">
        <v>186</v>
      </c>
    </row>
    <row r="54" spans="1:4" ht="15.75" thickBot="1" x14ac:dyDescent="0.3">
      <c r="A54" s="47" t="s">
        <v>127</v>
      </c>
      <c r="B54" s="46">
        <f>'Исходные данные'!B20*('Тепловой баланс'!B50/'Тепловой баланс'!B51)^2</f>
        <v>10070.831434299964</v>
      </c>
      <c r="C54" s="47" t="s">
        <v>9</v>
      </c>
      <c r="D54" s="47" t="s">
        <v>187</v>
      </c>
    </row>
    <row r="55" spans="1:4" ht="15.75" thickBot="1" x14ac:dyDescent="0.3">
      <c r="A55" s="70" t="s">
        <v>115</v>
      </c>
      <c r="B55" s="71">
        <f>(1.7725*(SQRT(B52*920*1300*B53*B54))*B48*(SUM('Исходные данные'!B27,'Исходные данные'!B21,'Исходные данные'!B24)))/(((SQRT(B53))+(SQRT(B54)))*1000)</f>
        <v>1907171.7547753882</v>
      </c>
      <c r="C55" s="72" t="s">
        <v>100</v>
      </c>
      <c r="D55" s="73" t="s">
        <v>137</v>
      </c>
    </row>
    <row r="56" spans="1:4" x14ac:dyDescent="0.25">
      <c r="A56" s="54"/>
      <c r="B56" s="54"/>
      <c r="C56" s="55"/>
      <c r="D56" s="54"/>
    </row>
    <row r="57" spans="1:4" x14ac:dyDescent="0.25">
      <c r="A57" s="4" t="s">
        <v>196</v>
      </c>
      <c r="B57" s="3">
        <f>B59*B58</f>
        <v>32876396.520312175</v>
      </c>
      <c r="C57" s="4" t="s">
        <v>100</v>
      </c>
      <c r="D57" s="4" t="s">
        <v>195</v>
      </c>
    </row>
    <row r="58" spans="1:4" x14ac:dyDescent="0.25">
      <c r="A58" s="4" t="s">
        <v>197</v>
      </c>
      <c r="B58" s="3">
        <f>(B11+B36+B55)/(B59-B18-B21-B39)</f>
        <v>3.066812861560652E-2</v>
      </c>
      <c r="C58" s="4" t="s">
        <v>193</v>
      </c>
      <c r="D58" s="4" t="s">
        <v>204</v>
      </c>
    </row>
    <row r="59" spans="1:4" x14ac:dyDescent="0.25">
      <c r="A59" s="4" t="s">
        <v>198</v>
      </c>
      <c r="B59" s="3">
        <f>'Расчет горения топлива'!B25*'Исходные данные'!B17+1.01*'Исходные данные'!B11*'Расчет горения топлива'!J5</f>
        <v>1072005303.3683282</v>
      </c>
      <c r="C59" s="4" t="s">
        <v>100</v>
      </c>
      <c r="D59" s="4" t="s">
        <v>194</v>
      </c>
    </row>
    <row r="60" spans="1:4" x14ac:dyDescent="0.25">
      <c r="A60" s="5" t="s">
        <v>139</v>
      </c>
      <c r="B60" s="3">
        <f>B11/J37</f>
        <v>0.13780540216156198</v>
      </c>
      <c r="C60" s="4"/>
      <c r="D60" s="4" t="s">
        <v>188</v>
      </c>
    </row>
    <row r="61" spans="1:4" x14ac:dyDescent="0.25">
      <c r="A61" s="5" t="s">
        <v>189</v>
      </c>
      <c r="B61" s="3">
        <f>J37/(0.01*(B8-B9)*'Исходные данные'!B5)</f>
        <v>49402.265171189101</v>
      </c>
      <c r="C61" s="4" t="s">
        <v>190</v>
      </c>
      <c r="D61" s="4" t="s">
        <v>191</v>
      </c>
    </row>
    <row r="62" spans="1:4" x14ac:dyDescent="0.25">
      <c r="A62" s="5" t="s">
        <v>140</v>
      </c>
      <c r="B62" s="3">
        <f>'Исходные данные'!B5*('Тепловой баланс'!B8-'Тепловой баланс'!B9)*0.01</f>
        <v>665.48358473824305</v>
      </c>
      <c r="C62" s="4" t="s">
        <v>5</v>
      </c>
      <c r="D62" s="4" t="s">
        <v>192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Исходные данные</vt:lpstr>
      <vt:lpstr>Расчет горения топлива</vt:lpstr>
      <vt:lpstr>Тепловой баланс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2013-09-12T15:22:57Z</dcterms:created>
  <dcterms:modified xsi:type="dcterms:W3CDTF">2013-10-15T07:03:43Z</dcterms:modified>
</cp:coreProperties>
</file>